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Paulinas dator\Downloads\"/>
    </mc:Choice>
  </mc:AlternateContent>
  <xr:revisionPtr revIDLastSave="0" documentId="13_ncr:1_{76DECEF0-E35C-4923-9728-C9854F802D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ontaktuppgifter" sheetId="2" r:id="rId1"/>
    <sheet name="maj" sheetId="3" state="hidden" r:id="rId2"/>
  </sheets>
  <definedNames>
    <definedName name="_xlnm._FilterDatabase" localSheetId="0" hidden="1">Kontaktuppgifter!$A$1:$Z$694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4x2qB5C+dr/hpfqdwIZ2l8ptO0qKN6u2mS80z1rmP2s="/>
    </ext>
  </extLst>
</workbook>
</file>

<file path=xl/calcChain.xml><?xml version="1.0" encoding="utf-8"?>
<calcChain xmlns="http://schemas.openxmlformats.org/spreadsheetml/2006/main">
  <c r="N242" i="3" l="1"/>
  <c r="G242" i="3"/>
  <c r="N240" i="3"/>
  <c r="G240" i="3"/>
  <c r="N239" i="3"/>
  <c r="G239" i="3"/>
  <c r="N237" i="3"/>
  <c r="G237" i="3"/>
  <c r="N236" i="3"/>
  <c r="G236" i="3"/>
  <c r="N234" i="3"/>
  <c r="G234" i="3"/>
  <c r="N233" i="3"/>
  <c r="G233" i="3"/>
  <c r="N231" i="3"/>
  <c r="G231" i="3"/>
  <c r="N230" i="3"/>
  <c r="G230" i="3"/>
  <c r="G222" i="3"/>
  <c r="G221" i="3"/>
  <c r="G219" i="3"/>
  <c r="G218" i="3"/>
  <c r="G216" i="3"/>
  <c r="G215" i="3"/>
  <c r="G213" i="3"/>
  <c r="G212" i="3"/>
  <c r="G210" i="3"/>
  <c r="G209" i="3"/>
  <c r="G207" i="3"/>
  <c r="G206" i="3"/>
  <c r="G204" i="3"/>
  <c r="G203" i="3"/>
  <c r="G201" i="3"/>
  <c r="G200" i="3"/>
  <c r="N192" i="3"/>
  <c r="G192" i="3"/>
  <c r="N191" i="3"/>
  <c r="G191" i="3"/>
  <c r="N189" i="3"/>
  <c r="G189" i="3"/>
  <c r="N188" i="3"/>
  <c r="G188" i="3"/>
  <c r="N186" i="3"/>
  <c r="G186" i="3"/>
  <c r="N185" i="3"/>
  <c r="G185" i="3"/>
  <c r="N183" i="3"/>
  <c r="G183" i="3"/>
  <c r="N182" i="3"/>
  <c r="G182" i="3"/>
  <c r="N180" i="3"/>
  <c r="G180" i="3"/>
  <c r="N179" i="3"/>
  <c r="G179" i="3"/>
  <c r="N177" i="3"/>
  <c r="G177" i="3"/>
  <c r="N176" i="3"/>
  <c r="G176" i="3"/>
  <c r="N174" i="3"/>
  <c r="G174" i="3"/>
  <c r="N173" i="3"/>
  <c r="G173" i="3"/>
  <c r="N171" i="3"/>
  <c r="G171" i="3"/>
  <c r="N170" i="3"/>
  <c r="G170" i="3"/>
  <c r="G164" i="3"/>
  <c r="G162" i="3"/>
  <c r="G161" i="3"/>
  <c r="G155" i="3"/>
  <c r="G153" i="3"/>
  <c r="G152" i="3"/>
  <c r="G146" i="3"/>
  <c r="G144" i="3"/>
  <c r="G142" i="3"/>
  <c r="G141" i="3"/>
  <c r="G139" i="3"/>
  <c r="G138" i="3"/>
  <c r="G136" i="3"/>
  <c r="G135" i="3"/>
  <c r="G133" i="3"/>
  <c r="G132" i="3"/>
  <c r="G130" i="3"/>
  <c r="G129" i="3"/>
  <c r="G123" i="3"/>
  <c r="G121" i="3"/>
  <c r="G119" i="3"/>
  <c r="G118" i="3"/>
  <c r="G116" i="3"/>
  <c r="G115" i="3"/>
  <c r="G113" i="3"/>
  <c r="G112" i="3"/>
  <c r="G110" i="3"/>
  <c r="G109" i="3"/>
  <c r="G107" i="3"/>
  <c r="G106" i="3"/>
  <c r="G100" i="3"/>
  <c r="G98" i="3"/>
  <c r="G97" i="3"/>
  <c r="G95" i="3"/>
  <c r="G94" i="3"/>
  <c r="G92" i="3"/>
  <c r="G91" i="3"/>
  <c r="G89" i="3"/>
  <c r="G88" i="3"/>
  <c r="G82" i="3"/>
  <c r="G81" i="3"/>
  <c r="G79" i="3"/>
  <c r="G78" i="3"/>
  <c r="G72" i="3"/>
  <c r="G70" i="3"/>
  <c r="G69" i="3"/>
  <c r="G67" i="3"/>
  <c r="G66" i="3"/>
  <c r="G60" i="3"/>
  <c r="G59" i="3"/>
  <c r="G57" i="3"/>
  <c r="G56" i="3"/>
  <c r="G50" i="3"/>
  <c r="G49" i="3"/>
  <c r="N47" i="3"/>
  <c r="G47" i="3"/>
  <c r="N46" i="3"/>
  <c r="G46" i="3"/>
  <c r="G40" i="3"/>
  <c r="G39" i="3"/>
  <c r="G37" i="3"/>
  <c r="G36" i="3"/>
  <c r="G30" i="3"/>
  <c r="G29" i="3"/>
  <c r="G27" i="3"/>
  <c r="G26" i="3"/>
  <c r="N20" i="3"/>
  <c r="G20" i="3"/>
  <c r="N19" i="3"/>
  <c r="G19" i="3"/>
  <c r="N17" i="3"/>
  <c r="G17" i="3"/>
  <c r="N16" i="3"/>
  <c r="G16" i="3"/>
  <c r="G10" i="3"/>
  <c r="G8" i="3"/>
  <c r="G7" i="3"/>
  <c r="G5" i="3"/>
  <c r="N4" i="3"/>
  <c r="G4" i="3"/>
</calcChain>
</file>

<file path=xl/sharedStrings.xml><?xml version="1.0" encoding="utf-8"?>
<sst xmlns="http://schemas.openxmlformats.org/spreadsheetml/2006/main" count="535" uniqueCount="206">
  <si>
    <t>NAMN</t>
  </si>
  <si>
    <t>PERSONNUMMER</t>
  </si>
  <si>
    <t>START</t>
  </si>
  <si>
    <t>SLUT</t>
  </si>
  <si>
    <t>PREL. DATUM SLUTPROV</t>
  </si>
  <si>
    <t>KURS/PAKET</t>
  </si>
  <si>
    <t>KOMMUN/PRIVAT</t>
  </si>
  <si>
    <t>TELEFON</t>
  </si>
  <si>
    <t>MAIL</t>
  </si>
  <si>
    <t>ÖVRIGT</t>
  </si>
  <si>
    <t>Ahlin, Elsa</t>
  </si>
  <si>
    <t xml:space="preserve">20050226-4724
</t>
  </si>
  <si>
    <t>Pedagogik Nivå 1</t>
  </si>
  <si>
    <t>Järfälla</t>
  </si>
  <si>
    <t>070-772 78 18</t>
  </si>
  <si>
    <t>at.elsa@outlook.com</t>
  </si>
  <si>
    <t>Behov av stöd</t>
  </si>
  <si>
    <t>Pedagogik Nivå 2</t>
  </si>
  <si>
    <t>KCNO</t>
  </si>
  <si>
    <t>Samhällskunskap 1a1</t>
  </si>
  <si>
    <t>Sollentuna</t>
  </si>
  <si>
    <t>Tesfu, Temesghen Berakhi</t>
  </si>
  <si>
    <t xml:space="preserve">19981014-5517
</t>
  </si>
  <si>
    <t>Specialpedagogik Nivå 2</t>
  </si>
  <si>
    <t>072-869 52 75</t>
  </si>
  <si>
    <t xml:space="preserve">Temesghen-b@hotmail.com
</t>
  </si>
  <si>
    <t>Vargas, Antonella</t>
  </si>
  <si>
    <t>070-464 95 01</t>
  </si>
  <si>
    <t>Uppl Väsby</t>
  </si>
  <si>
    <t>-</t>
  </si>
  <si>
    <t>ADMINISTRATION BAS</t>
  </si>
  <si>
    <t>ADMINISTRATION BAS (Rev Hnedi, Rafieh Sattar)</t>
  </si>
  <si>
    <t>FSXAAN</t>
  </si>
  <si>
    <t>Poäng</t>
  </si>
  <si>
    <t>Start</t>
  </si>
  <si>
    <t>Slut</t>
  </si>
  <si>
    <t>Kurs</t>
  </si>
  <si>
    <t>Prel. datum slutprov</t>
  </si>
  <si>
    <t>INFINF01</t>
  </si>
  <si>
    <t>Information och kommunikation 1</t>
  </si>
  <si>
    <t>AFFAFÄ00S</t>
  </si>
  <si>
    <t>Affärskommunikation</t>
  </si>
  <si>
    <t>ADMADM01</t>
  </si>
  <si>
    <t>Administration 1</t>
  </si>
  <si>
    <t>Praktik (15%) - 4 v /150h</t>
  </si>
  <si>
    <t>ADMADM02</t>
  </si>
  <si>
    <t>Administration 2</t>
  </si>
  <si>
    <t>FÖRFÖR01</t>
  </si>
  <si>
    <t>Företagsekonomi 1</t>
  </si>
  <si>
    <t>ADMINISTRATION BAS (rev Aydin, Rebecka)</t>
  </si>
  <si>
    <t>ADMINISTRATION BAS (rev Hachimi Idrissi, Laila)</t>
  </si>
  <si>
    <t>ADMINISTRATION BAS (rev Yeniay Deniz, Ilona + Dahlström, Lisen + Kücükgöl, Pelin)</t>
  </si>
  <si>
    <t>ADMINISTRATION PÅBYGG HR</t>
  </si>
  <si>
    <t>FSXACN</t>
  </si>
  <si>
    <t>ADMPER0</t>
  </si>
  <si>
    <t>Personaladministration</t>
  </si>
  <si>
    <t>INFINF02</t>
  </si>
  <si>
    <t>Information och kommunikation 2</t>
  </si>
  <si>
    <t>JURAFF0</t>
  </si>
  <si>
    <t>Affärsjuridik</t>
  </si>
  <si>
    <t>LEDLED0</t>
  </si>
  <si>
    <t xml:space="preserve">Ledarskap och organisation  </t>
  </si>
  <si>
    <t>Praktik (15%) - 3 v/120h</t>
  </si>
  <si>
    <t>ADMINISTRATION PÅBYGG EK &amp; RED</t>
  </si>
  <si>
    <t>ADMINISTRATION PÅBYGG EK &amp; RED (Rev Chamorro, Gabriela)</t>
  </si>
  <si>
    <t>FSXABN</t>
  </si>
  <si>
    <t>FÖRRED01</t>
  </si>
  <si>
    <t>Redovisning 1</t>
  </si>
  <si>
    <t>FÖRFÖR02</t>
  </si>
  <si>
    <t>Företagsekonomi 2</t>
  </si>
  <si>
    <t>FÖRRED02</t>
  </si>
  <si>
    <t>Redovisning 2</t>
  </si>
  <si>
    <t>ADMINISTRATION PÅBYGG MARKNADSFÖRING</t>
  </si>
  <si>
    <t>FSXAEN</t>
  </si>
  <si>
    <t>HANPRA01</t>
  </si>
  <si>
    <t>Praktiskt marknadsföring 1</t>
  </si>
  <si>
    <t>HANHAN0</t>
  </si>
  <si>
    <t>Handel och hållbar utveckling</t>
  </si>
  <si>
    <t>HANPRA02</t>
  </si>
  <si>
    <t>Praktiskt marknadsföring 2</t>
  </si>
  <si>
    <t>HANDEL BAS</t>
  </si>
  <si>
    <t>FSXAFN</t>
  </si>
  <si>
    <t>HANBRA0</t>
  </si>
  <si>
    <t>Branschkunskap inom handel</t>
  </si>
  <si>
    <t>Praktisk marknadsföring 1</t>
  </si>
  <si>
    <t>FÖSSEV01</t>
  </si>
  <si>
    <t>Servicekunskap 1</t>
  </si>
  <si>
    <t>FÖSSER02</t>
  </si>
  <si>
    <t>Servicekunskap 2</t>
  </si>
  <si>
    <t>Praktik (15%) - 4 v/150h</t>
  </si>
  <si>
    <t>HANDEL PÅBYGG BUTIKSSÄLJARE</t>
  </si>
  <si>
    <t>FSXAGN</t>
  </si>
  <si>
    <t>FÖSPER01</t>
  </si>
  <si>
    <t>Personlig försäljning 1</t>
  </si>
  <si>
    <t>UTSUTS01</t>
  </si>
  <si>
    <t>Utställningsdesign</t>
  </si>
  <si>
    <t>FÖSPER02</t>
  </si>
  <si>
    <t>Personlig försäljning 2</t>
  </si>
  <si>
    <t>HANHAN00S</t>
  </si>
  <si>
    <t>Handel specialisering</t>
  </si>
  <si>
    <t xml:space="preserve">BARNSKÖTARE/ELEVASSISTENT BAS </t>
  </si>
  <si>
    <t>BFXAAN</t>
  </si>
  <si>
    <t>PEDPED0</t>
  </si>
  <si>
    <t>Pedagogiska teorier och praktiker</t>
  </si>
  <si>
    <t>PEDKOU0</t>
  </si>
  <si>
    <t>Kommunikation</t>
  </si>
  <si>
    <t>PEDLÄR0</t>
  </si>
  <si>
    <t>Lärande och utveckling</t>
  </si>
  <si>
    <t>SPCSPE01</t>
  </si>
  <si>
    <t>Specialpedagogik 1</t>
  </si>
  <si>
    <t>HALHAL0</t>
  </si>
  <si>
    <t>Hälsopedagogik</t>
  </si>
  <si>
    <t>GRUGRD0</t>
  </si>
  <si>
    <t>Grundläggande vård och omsorg</t>
  </si>
  <si>
    <t>PEDPEG0</t>
  </si>
  <si>
    <t>Pedagogiskt ledarskap</t>
  </si>
  <si>
    <t>SOIETN0</t>
  </si>
  <si>
    <t>Etnicitet och kulturmöten</t>
  </si>
  <si>
    <t>PEDMÄI0</t>
  </si>
  <si>
    <t>Människors miljöer</t>
  </si>
  <si>
    <t>Praktik 15% - 7 v/270h</t>
  </si>
  <si>
    <t xml:space="preserve">BARNSKÖTARE INR BARNSKÖTARE </t>
  </si>
  <si>
    <t>BFXBFR</t>
  </si>
  <si>
    <t>PEDBAS0</t>
  </si>
  <si>
    <t>Barns lärande och växande</t>
  </si>
  <si>
    <t>PEGSKP</t>
  </si>
  <si>
    <t>Skapande verksamhet</t>
  </si>
  <si>
    <t>PEGPEA0</t>
  </si>
  <si>
    <t>Pedagogiskt arbete</t>
  </si>
  <si>
    <t>Praktik 15% - 10 v/386h</t>
  </si>
  <si>
    <t xml:space="preserve">BARNSKÖTARE INR ELEVASSISTENT </t>
  </si>
  <si>
    <t>BFXEAR</t>
  </si>
  <si>
    <t>SPCSPE02</t>
  </si>
  <si>
    <t>Specialpedagogik 2</t>
  </si>
  <si>
    <t>PÅBYGGNAD BARNSKÖTARE</t>
  </si>
  <si>
    <t>BFXABN</t>
  </si>
  <si>
    <t>PÅBYGGNAD ELEVASSISTENT</t>
  </si>
  <si>
    <t>BFXACN</t>
  </si>
  <si>
    <t xml:space="preserve">UNDERSKÖTERSKA </t>
  </si>
  <si>
    <t>UNDERSKÖTERSKA  (Rev Dirar, Sara Mohamed Said)</t>
  </si>
  <si>
    <t>VOXABN</t>
  </si>
  <si>
    <t>SOASOC01</t>
  </si>
  <si>
    <t>Social omsorg 1</t>
  </si>
  <si>
    <t>OMVOMV01</t>
  </si>
  <si>
    <t>Omvårdnad 1</t>
  </si>
  <si>
    <t>ANOANA01</t>
  </si>
  <si>
    <t>Anatomi och fysiologi 1</t>
  </si>
  <si>
    <t>ANOANA02</t>
  </si>
  <si>
    <t>Anatomi och fysiologi 2</t>
  </si>
  <si>
    <t>PSKPSY01</t>
  </si>
  <si>
    <t>Psykologi 1</t>
  </si>
  <si>
    <t>SAMSAM01a1</t>
  </si>
  <si>
    <t>SVESVE01/SVASVA01</t>
  </si>
  <si>
    <t>SOASOC02</t>
  </si>
  <si>
    <t>Social omsorg 2</t>
  </si>
  <si>
    <t>OMVOMV02</t>
  </si>
  <si>
    <t>Omvårdnad 2</t>
  </si>
  <si>
    <t>PSYPSY01</t>
  </si>
  <si>
    <t>Psykiatri 1</t>
  </si>
  <si>
    <t>GERGER0</t>
  </si>
  <si>
    <t>Gerontologi och geriatrik</t>
  </si>
  <si>
    <t>HAOHAL01</t>
  </si>
  <si>
    <t>Hälso- och sjukvård 1</t>
  </si>
  <si>
    <t>PSYPSK02</t>
  </si>
  <si>
    <t>Psykiatri 2</t>
  </si>
  <si>
    <t>FUTFUN01</t>
  </si>
  <si>
    <t>Funktionsförmåga och funktionsnedsättning 1</t>
  </si>
  <si>
    <t>HAOHAL02</t>
  </si>
  <si>
    <t>Hälso- och sjukvård 2</t>
  </si>
  <si>
    <t>FUTFUN02</t>
  </si>
  <si>
    <t>Funktionsförmåga och funktionsnedsättning 2</t>
  </si>
  <si>
    <t>VADVAD00S</t>
  </si>
  <si>
    <t>Vård och omsorg specialisering</t>
  </si>
  <si>
    <t>Praktik (15%) - 12 v/464h (4+8 v) + HLR på skolan</t>
  </si>
  <si>
    <t>UNDERSKÖTERSKA  (Rev Acuna Hernandez, Sara)</t>
  </si>
  <si>
    <t>VÅRDBITRÄDE</t>
  </si>
  <si>
    <t>VOXAAN</t>
  </si>
  <si>
    <t>Svenska 1/Svenska som andraspråk 1</t>
  </si>
  <si>
    <t>Praktik (15%) - 6 veckor</t>
  </si>
  <si>
    <t>Grundläggande vård och omsorg Nivå 1</t>
  </si>
  <si>
    <t>Kost och hälsa Nivå 1</t>
  </si>
  <si>
    <t>Förskolans och fritidshemmets arbete Nivå 1</t>
  </si>
  <si>
    <t>Språk- och kunskapsutveckling i förskolan och fritidshemmet</t>
  </si>
  <si>
    <t>Pedagogiskt arbete Nivå 1</t>
  </si>
  <si>
    <t>Sjöbeck, Emilia</t>
  </si>
  <si>
    <t>19980730-1966</t>
  </si>
  <si>
    <t>076-398 94 58</t>
  </si>
  <si>
    <t>emiliasjbeck@gmail.com</t>
  </si>
  <si>
    <t>19990311-1525</t>
  </si>
  <si>
    <t>Antonella.vargaas@icloud.com</t>
  </si>
  <si>
    <t>Furevik, Nova</t>
  </si>
  <si>
    <t>20050512-2788</t>
  </si>
  <si>
    <t>073-310 74 72</t>
  </si>
  <si>
    <t>nova.furevik@gmail.com</t>
  </si>
  <si>
    <t>Al-Saad, Fatima</t>
  </si>
  <si>
    <t>20000426-6128</t>
  </si>
  <si>
    <t>073-650 33 73</t>
  </si>
  <si>
    <t>fatimalsaad56@gmail.com</t>
  </si>
  <si>
    <t>Külter, Marge</t>
  </si>
  <si>
    <t>19741028-7226</t>
  </si>
  <si>
    <t>070-094 74 60</t>
  </si>
  <si>
    <t>margekulter@gmail.com</t>
  </si>
  <si>
    <t>Kocak, Habibe</t>
  </si>
  <si>
    <t>19720621-5803</t>
  </si>
  <si>
    <t>072-038 82 33</t>
  </si>
  <si>
    <t>habibekocak@hotmail.com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</si>
</sst>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262626"/>
      <name val="Arial"/>
    </font>
    <font>
      <sz val="10"/>
      <color rgb="FF262626"/>
      <name val="Arial"/>
    </font>
    <font>
      <strike/>
      <sz val="10"/>
      <color rgb="FF262626"/>
      <name val="Arial"/>
    </font>
    <font>
      <strike/>
      <sz val="10"/>
      <color theme="1"/>
      <name val="Arial"/>
    </font>
    <font>
      <strike/>
      <sz val="10"/>
      <color rgb="FF000000"/>
      <name val="Arial"/>
    </font>
    <font>
      <strike/>
      <sz val="10"/>
      <color theme="1"/>
      <name val="Arial"/>
    </font>
    <font>
      <strike/>
      <sz val="10"/>
      <color rgb="FF262626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9900"/>
        <bgColor rgb="FFFF9900"/>
      </patternFill>
    </fill>
    <fill>
      <patternFill patternType="solid">
        <fgColor rgb="FF6D9EEB"/>
        <bgColor rgb="FF6D9EEB"/>
      </patternFill>
    </fill>
    <fill>
      <patternFill patternType="solid">
        <fgColor rgb="FFB4A7D6"/>
        <bgColor rgb="FFB4A7D6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4" fillId="3" borderId="0" xfId="0" applyFont="1" applyFill="1"/>
    <xf numFmtId="0" fontId="4" fillId="4" borderId="0" xfId="0" applyFont="1" applyFill="1"/>
    <xf numFmtId="0" fontId="3" fillId="4" borderId="0" xfId="0" applyFont="1" applyFill="1"/>
    <xf numFmtId="0" fontId="4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164" fontId="4" fillId="0" borderId="2" xfId="0" applyNumberFormat="1" applyFont="1" applyBorder="1" applyAlignment="1">
      <alignment horizontal="right"/>
    </xf>
    <xf numFmtId="0" fontId="4" fillId="2" borderId="2" xfId="0" applyFont="1" applyFill="1" applyBorder="1" applyAlignment="1">
      <alignment horizontal="right"/>
    </xf>
    <xf numFmtId="0" fontId="7" fillId="0" borderId="2" xfId="0" applyFont="1" applyBorder="1"/>
    <xf numFmtId="164" fontId="4" fillId="2" borderId="2" xfId="0" applyNumberFormat="1" applyFont="1" applyFill="1" applyBorder="1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2" borderId="0" xfId="0" applyNumberFormat="1" applyFont="1" applyFill="1" applyAlignment="1">
      <alignment horizontal="right"/>
    </xf>
    <xf numFmtId="0" fontId="7" fillId="0" borderId="0" xfId="0" applyFont="1"/>
    <xf numFmtId="164" fontId="4" fillId="0" borderId="0" xfId="0" applyNumberFormat="1" applyFont="1"/>
    <xf numFmtId="164" fontId="4" fillId="2" borderId="2" xfId="0" applyNumberFormat="1" applyFont="1" applyFill="1" applyBorder="1"/>
    <xf numFmtId="0" fontId="4" fillId="2" borderId="2" xfId="0" applyFont="1" applyFill="1" applyBorder="1"/>
    <xf numFmtId="164" fontId="4" fillId="2" borderId="0" xfId="0" applyNumberFormat="1" applyFont="1" applyFill="1"/>
    <xf numFmtId="0" fontId="4" fillId="2" borderId="0" xfId="0" applyFont="1" applyFill="1"/>
    <xf numFmtId="0" fontId="4" fillId="0" borderId="3" xfId="0" applyFont="1" applyBorder="1"/>
    <xf numFmtId="0" fontId="4" fillId="5" borderId="0" xfId="0" applyFont="1" applyFill="1"/>
    <xf numFmtId="0" fontId="3" fillId="5" borderId="0" xfId="0" applyFont="1" applyFill="1"/>
    <xf numFmtId="164" fontId="4" fillId="0" borderId="2" xfId="0" applyNumberFormat="1" applyFont="1" applyBorder="1"/>
    <xf numFmtId="0" fontId="4" fillId="6" borderId="0" xfId="0" applyFont="1" applyFill="1"/>
    <xf numFmtId="0" fontId="2" fillId="6" borderId="0" xfId="0" applyFont="1" applyFill="1"/>
    <xf numFmtId="0" fontId="1" fillId="6" borderId="0" xfId="0" applyFont="1" applyFill="1"/>
    <xf numFmtId="0" fontId="1" fillId="0" borderId="2" xfId="0" applyFont="1" applyBorder="1"/>
    <xf numFmtId="0" fontId="8" fillId="0" borderId="2" xfId="0" applyFont="1" applyBorder="1"/>
    <xf numFmtId="0" fontId="1" fillId="0" borderId="2" xfId="0" applyFont="1" applyBorder="1" applyAlignment="1">
      <alignment horizontal="right"/>
    </xf>
    <xf numFmtId="0" fontId="9" fillId="0" borderId="2" xfId="0" applyFont="1" applyBorder="1"/>
    <xf numFmtId="0" fontId="10" fillId="0" borderId="2" xfId="0" applyFont="1" applyBorder="1" applyAlignment="1">
      <alignment horizontal="right"/>
    </xf>
    <xf numFmtId="164" fontId="11" fillId="0" borderId="2" xfId="0" applyNumberFormat="1" applyFont="1" applyBorder="1" applyAlignment="1">
      <alignment horizontal="right"/>
    </xf>
    <xf numFmtId="164" fontId="12" fillId="0" borderId="2" xfId="0" applyNumberFormat="1" applyFont="1" applyBorder="1" applyAlignment="1">
      <alignment horizontal="right"/>
    </xf>
    <xf numFmtId="0" fontId="10" fillId="0" borderId="2" xfId="0" applyFont="1" applyBorder="1"/>
    <xf numFmtId="0" fontId="1" fillId="0" borderId="4" xfId="0" applyFont="1" applyBorder="1"/>
    <xf numFmtId="164" fontId="12" fillId="2" borderId="2" xfId="0" applyNumberFormat="1" applyFont="1" applyFill="1" applyBorder="1" applyAlignment="1">
      <alignment horizontal="right"/>
    </xf>
    <xf numFmtId="164" fontId="1" fillId="0" borderId="2" xfId="0" applyNumberFormat="1" applyFont="1" applyBorder="1"/>
    <xf numFmtId="0" fontId="1" fillId="2" borderId="2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right"/>
    </xf>
    <xf numFmtId="0" fontId="10" fillId="2" borderId="4" xfId="0" applyFont="1" applyFill="1" applyBorder="1" applyAlignment="1">
      <alignment horizontal="right"/>
    </xf>
    <xf numFmtId="164" fontId="10" fillId="2" borderId="2" xfId="0" applyNumberFormat="1" applyFont="1" applyFill="1" applyBorder="1" applyAlignment="1">
      <alignment horizontal="right"/>
    </xf>
    <xf numFmtId="164" fontId="10" fillId="2" borderId="4" xfId="0" applyNumberFormat="1" applyFont="1" applyFill="1" applyBorder="1" applyAlignment="1">
      <alignment horizontal="right"/>
    </xf>
    <xf numFmtId="0" fontId="10" fillId="2" borderId="2" xfId="0" applyFont="1" applyFill="1" applyBorder="1" applyAlignment="1">
      <alignment horizontal="right"/>
    </xf>
    <xf numFmtId="0" fontId="3" fillId="6" borderId="0" xfId="0" applyFont="1" applyFill="1"/>
    <xf numFmtId="0" fontId="4" fillId="0" borderId="4" xfId="0" applyFont="1" applyBorder="1"/>
    <xf numFmtId="0" fontId="13" fillId="0" borderId="2" xfId="0" applyFont="1" applyBorder="1"/>
    <xf numFmtId="0" fontId="12" fillId="0" borderId="2" xfId="0" applyFont="1" applyBorder="1" applyAlignment="1">
      <alignment horizontal="right"/>
    </xf>
    <xf numFmtId="0" fontId="5" fillId="0" borderId="0" xfId="0" applyFont="1" applyFill="1"/>
    <xf numFmtId="164" fontId="5" fillId="0" borderId="0" xfId="0" applyNumberFormat="1" applyFont="1" applyFill="1"/>
    <xf numFmtId="0" fontId="0" fillId="0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"/>
  <sheetViews>
    <sheetView tabSelected="1" zoomScale="85" zoomScaleNormal="85" workbookViewId="0">
      <pane ySplit="1" topLeftCell="A2" activePane="bottomLeft" state="frozen"/>
      <selection pane="bottomLeft" activeCell="E9" sqref="E9"/>
    </sheetView>
  </sheetViews>
  <sheetFormatPr defaultColWidth="12.6640625" defaultRowHeight="15" customHeight="1" x14ac:dyDescent="0.25"/>
  <cols>
    <col min="1" max="1" width="23.6640625" bestFit="1" customWidth="1"/>
    <col min="2" max="2" width="16" customWidth="1"/>
    <col min="3" max="4" width="10.5546875" bestFit="1" customWidth="1"/>
    <col min="5" max="5" width="24.21875" customWidth="1"/>
    <col min="6" max="6" width="41.44140625" customWidth="1"/>
    <col min="7" max="7" width="16.109375" customWidth="1"/>
    <col min="9" max="9" width="29.21875" customWidth="1"/>
  </cols>
  <sheetData>
    <row r="1" spans="1:27" x14ac:dyDescent="0.2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s="57" customFormat="1" x14ac:dyDescent="0.25">
      <c r="A2" s="55" t="s">
        <v>10</v>
      </c>
      <c r="B2" s="55" t="s">
        <v>11</v>
      </c>
      <c r="C2" s="56">
        <v>45908</v>
      </c>
      <c r="D2" s="56">
        <v>45940</v>
      </c>
      <c r="E2" s="56">
        <v>45931</v>
      </c>
      <c r="F2" s="55" t="s">
        <v>12</v>
      </c>
      <c r="G2" s="55" t="s">
        <v>13</v>
      </c>
      <c r="H2" s="55" t="s">
        <v>14</v>
      </c>
      <c r="I2" s="55" t="s">
        <v>15</v>
      </c>
      <c r="J2" s="55" t="s">
        <v>16</v>
      </c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</row>
    <row r="3" spans="1:27" s="57" customFormat="1" x14ac:dyDescent="0.25">
      <c r="A3" s="55" t="s">
        <v>10</v>
      </c>
      <c r="B3" s="55" t="s">
        <v>11</v>
      </c>
      <c r="C3" s="56">
        <v>45908</v>
      </c>
      <c r="D3" s="56">
        <v>45940</v>
      </c>
      <c r="E3" s="56">
        <v>45931</v>
      </c>
      <c r="F3" s="55" t="s">
        <v>17</v>
      </c>
      <c r="G3" s="55" t="s">
        <v>13</v>
      </c>
      <c r="H3" s="55" t="s">
        <v>14</v>
      </c>
      <c r="I3" s="55" t="s">
        <v>15</v>
      </c>
      <c r="J3" s="55" t="s">
        <v>16</v>
      </c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</row>
    <row r="4" spans="1:27" s="57" customFormat="1" ht="13.2" x14ac:dyDescent="0.25">
      <c r="A4" s="55" t="s">
        <v>21</v>
      </c>
      <c r="B4" s="55" t="s">
        <v>22</v>
      </c>
      <c r="C4" s="56">
        <v>45908</v>
      </c>
      <c r="D4" s="56">
        <v>45940</v>
      </c>
      <c r="E4" s="56">
        <v>45931</v>
      </c>
      <c r="F4" s="55" t="s">
        <v>23</v>
      </c>
      <c r="G4" s="55" t="s">
        <v>20</v>
      </c>
      <c r="H4" s="55" t="s">
        <v>24</v>
      </c>
      <c r="I4" s="55" t="s">
        <v>25</v>
      </c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</row>
    <row r="5" spans="1:27" ht="15" customHeight="1" x14ac:dyDescent="0.25">
      <c r="A5" t="s">
        <v>184</v>
      </c>
      <c r="B5" t="s">
        <v>185</v>
      </c>
      <c r="C5" s="56">
        <v>45908</v>
      </c>
      <c r="D5" s="58">
        <v>45975</v>
      </c>
      <c r="E5" s="58">
        <v>45966</v>
      </c>
      <c r="F5" s="55" t="s">
        <v>180</v>
      </c>
      <c r="G5" t="s">
        <v>28</v>
      </c>
      <c r="H5" t="s">
        <v>186</v>
      </c>
      <c r="I5" t="s">
        <v>187</v>
      </c>
    </row>
    <row r="6" spans="1:27" ht="15" customHeight="1" x14ac:dyDescent="0.25">
      <c r="A6" t="s">
        <v>26</v>
      </c>
      <c r="B6" t="s">
        <v>188</v>
      </c>
      <c r="C6" s="56">
        <v>45908</v>
      </c>
      <c r="D6" s="58">
        <v>45975</v>
      </c>
      <c r="E6" s="58">
        <v>45966</v>
      </c>
      <c r="F6" s="55" t="s">
        <v>181</v>
      </c>
      <c r="G6" t="s">
        <v>20</v>
      </c>
      <c r="H6" t="s">
        <v>27</v>
      </c>
      <c r="I6" t="s">
        <v>189</v>
      </c>
    </row>
    <row r="7" spans="1:27" ht="15" customHeight="1" x14ac:dyDescent="0.25">
      <c r="A7" t="s">
        <v>190</v>
      </c>
      <c r="B7" t="s">
        <v>191</v>
      </c>
      <c r="C7" s="56">
        <v>45908</v>
      </c>
      <c r="D7" s="56">
        <v>46045</v>
      </c>
      <c r="E7" s="58">
        <v>45826</v>
      </c>
      <c r="F7" s="55" t="s">
        <v>181</v>
      </c>
      <c r="G7" t="s">
        <v>18</v>
      </c>
      <c r="H7" t="s">
        <v>192</v>
      </c>
      <c r="I7" t="s">
        <v>193</v>
      </c>
    </row>
    <row r="8" spans="1:27" ht="15" customHeight="1" x14ac:dyDescent="0.25">
      <c r="A8" t="s">
        <v>194</v>
      </c>
      <c r="B8" t="s">
        <v>195</v>
      </c>
      <c r="C8" s="56">
        <v>45908</v>
      </c>
      <c r="D8" s="58">
        <v>46045</v>
      </c>
      <c r="E8" s="58">
        <v>46036</v>
      </c>
      <c r="F8" s="55" t="s">
        <v>179</v>
      </c>
      <c r="G8" t="s">
        <v>13</v>
      </c>
      <c r="H8" t="s">
        <v>196</v>
      </c>
      <c r="I8" t="s">
        <v>197</v>
      </c>
    </row>
    <row r="9" spans="1:27" ht="15" customHeight="1" x14ac:dyDescent="0.25">
      <c r="A9" t="s">
        <v>198</v>
      </c>
      <c r="B9" t="s">
        <v>199</v>
      </c>
      <c r="C9" s="56">
        <v>45908</v>
      </c>
      <c r="D9" s="58">
        <v>45975</v>
      </c>
      <c r="E9" s="58">
        <v>45966</v>
      </c>
      <c r="F9" s="55" t="s">
        <v>182</v>
      </c>
      <c r="G9" t="s">
        <v>18</v>
      </c>
      <c r="H9" t="s">
        <v>200</v>
      </c>
      <c r="I9" t="s">
        <v>201</v>
      </c>
    </row>
    <row r="10" spans="1:27" ht="15" customHeight="1" x14ac:dyDescent="0.25">
      <c r="A10" t="s">
        <v>202</v>
      </c>
      <c r="B10" t="s">
        <v>203</v>
      </c>
      <c r="C10" s="56">
        <v>45908</v>
      </c>
      <c r="D10" s="58">
        <v>45975</v>
      </c>
      <c r="E10" s="58">
        <v>45966</v>
      </c>
      <c r="F10" s="55" t="s">
        <v>183</v>
      </c>
      <c r="G10" t="s">
        <v>18</v>
      </c>
      <c r="H10" t="s">
        <v>204</v>
      </c>
      <c r="I10" t="s">
        <v>205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15"/>
  <sheetViews>
    <sheetView workbookViewId="0"/>
  </sheetViews>
  <sheetFormatPr defaultColWidth="12.6640625" defaultRowHeight="15" customHeight="1" x14ac:dyDescent="0.25"/>
  <cols>
    <col min="1" max="1" width="12.6640625" customWidth="1"/>
    <col min="2" max="2" width="14.6640625" customWidth="1"/>
    <col min="3" max="3" width="5.88671875" customWidth="1"/>
    <col min="4" max="5" width="9.44140625" customWidth="1"/>
    <col min="6" max="6" width="38.109375" customWidth="1"/>
    <col min="7" max="7" width="16" customWidth="1"/>
    <col min="8" max="8" width="13.77734375" customWidth="1"/>
    <col min="10" max="10" width="5.88671875" customWidth="1"/>
    <col min="11" max="12" width="9.44140625" customWidth="1"/>
    <col min="13" max="13" width="38.109375" customWidth="1"/>
    <col min="14" max="14" width="15.88671875" customWidth="1"/>
  </cols>
  <sheetData>
    <row r="1" spans="1:28" ht="15.75" customHeight="1" x14ac:dyDescent="0.25">
      <c r="A1" s="5"/>
      <c r="B1" s="6" t="s">
        <v>30</v>
      </c>
      <c r="C1" s="5"/>
      <c r="D1" s="5"/>
      <c r="E1" s="5"/>
      <c r="F1" s="5"/>
      <c r="G1" s="5"/>
      <c r="H1" s="5"/>
      <c r="I1" s="6" t="s">
        <v>31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5.7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5.75" customHeight="1" x14ac:dyDescent="0.25">
      <c r="A3" s="8"/>
      <c r="B3" s="9" t="s">
        <v>32</v>
      </c>
      <c r="C3" s="9" t="s">
        <v>33</v>
      </c>
      <c r="D3" s="9" t="s">
        <v>34</v>
      </c>
      <c r="E3" s="9" t="s">
        <v>35</v>
      </c>
      <c r="F3" s="9" t="s">
        <v>36</v>
      </c>
      <c r="G3" s="9" t="s">
        <v>37</v>
      </c>
      <c r="H3" s="7"/>
      <c r="I3" s="9" t="s">
        <v>32</v>
      </c>
      <c r="J3" s="9" t="s">
        <v>33</v>
      </c>
      <c r="K3" s="9" t="s">
        <v>34</v>
      </c>
      <c r="L3" s="9" t="s">
        <v>35</v>
      </c>
      <c r="M3" s="9" t="s">
        <v>36</v>
      </c>
      <c r="N3" s="9" t="s">
        <v>37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15.75" customHeight="1" x14ac:dyDescent="0.25">
      <c r="A4" s="8"/>
      <c r="B4" s="9" t="s">
        <v>38</v>
      </c>
      <c r="C4" s="10">
        <v>100</v>
      </c>
      <c r="D4" s="11">
        <v>45803</v>
      </c>
      <c r="E4" s="12">
        <v>45870</v>
      </c>
      <c r="F4" s="9" t="s">
        <v>39</v>
      </c>
      <c r="G4" s="12">
        <f t="shared" ref="G4:G5" si="0">E4-9</f>
        <v>45861</v>
      </c>
      <c r="H4" s="7"/>
      <c r="I4" s="9" t="s">
        <v>40</v>
      </c>
      <c r="J4" s="13">
        <v>100</v>
      </c>
      <c r="K4" s="11">
        <v>45803</v>
      </c>
      <c r="L4" s="11">
        <v>45835</v>
      </c>
      <c r="M4" s="9" t="s">
        <v>41</v>
      </c>
      <c r="N4" s="12">
        <f>L4-9</f>
        <v>45826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t="15.75" customHeight="1" x14ac:dyDescent="0.25">
      <c r="A5" s="8"/>
      <c r="B5" s="14" t="s">
        <v>42</v>
      </c>
      <c r="C5" s="10">
        <v>100</v>
      </c>
      <c r="D5" s="11">
        <v>45803</v>
      </c>
      <c r="E5" s="12">
        <v>45870</v>
      </c>
      <c r="F5" s="9" t="s">
        <v>43</v>
      </c>
      <c r="G5" s="12">
        <f t="shared" si="0"/>
        <v>45861</v>
      </c>
      <c r="H5" s="7"/>
      <c r="I5" s="9"/>
      <c r="J5" s="9"/>
      <c r="K5" s="9"/>
      <c r="L5" s="9"/>
      <c r="M5" s="9" t="s">
        <v>44</v>
      </c>
      <c r="N5" s="9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ht="15.75" customHeight="1" x14ac:dyDescent="0.25">
      <c r="A6" s="8"/>
      <c r="B6" s="9"/>
      <c r="C6" s="9"/>
      <c r="D6" s="9"/>
      <c r="E6" s="9"/>
      <c r="F6" s="9"/>
      <c r="G6" s="9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5.75" customHeight="1" x14ac:dyDescent="0.25">
      <c r="A7" s="8"/>
      <c r="B7" s="9" t="s">
        <v>45</v>
      </c>
      <c r="C7" s="10">
        <v>100</v>
      </c>
      <c r="D7" s="12">
        <v>45873</v>
      </c>
      <c r="E7" s="15">
        <v>45940</v>
      </c>
      <c r="F7" s="9" t="s">
        <v>46</v>
      </c>
      <c r="G7" s="12">
        <f t="shared" ref="G7:G8" si="1">E7-9</f>
        <v>45931</v>
      </c>
      <c r="H7" s="7"/>
      <c r="I7" s="7"/>
      <c r="J7" s="16"/>
      <c r="K7" s="17"/>
      <c r="L7" s="18"/>
      <c r="M7" s="7"/>
      <c r="N7" s="1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5.75" customHeight="1" x14ac:dyDescent="0.25">
      <c r="A8" s="8"/>
      <c r="B8" s="9" t="s">
        <v>47</v>
      </c>
      <c r="C8" s="10">
        <v>100</v>
      </c>
      <c r="D8" s="12">
        <v>45873</v>
      </c>
      <c r="E8" s="15">
        <v>45940</v>
      </c>
      <c r="F8" s="9" t="s">
        <v>48</v>
      </c>
      <c r="G8" s="12">
        <f t="shared" si="1"/>
        <v>45931</v>
      </c>
      <c r="H8" s="7"/>
      <c r="I8" s="7"/>
      <c r="J8" s="16"/>
      <c r="K8" s="17"/>
      <c r="L8" s="18"/>
      <c r="M8" s="7"/>
      <c r="N8" s="1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5.75" customHeight="1" x14ac:dyDescent="0.25">
      <c r="A9" s="8"/>
      <c r="B9" s="9"/>
      <c r="C9" s="9"/>
      <c r="D9" s="9"/>
      <c r="E9" s="9"/>
      <c r="F9" s="9"/>
      <c r="G9" s="9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ht="15.75" customHeight="1" x14ac:dyDescent="0.25">
      <c r="A10" s="8"/>
      <c r="B10" s="9" t="s">
        <v>40</v>
      </c>
      <c r="C10" s="13">
        <v>100</v>
      </c>
      <c r="D10" s="15">
        <v>45943</v>
      </c>
      <c r="E10" s="15">
        <v>45975</v>
      </c>
      <c r="F10" s="9" t="s">
        <v>41</v>
      </c>
      <c r="G10" s="12">
        <f>E10-9</f>
        <v>45966</v>
      </c>
      <c r="H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ht="15.75" customHeight="1" x14ac:dyDescent="0.25">
      <c r="A11" s="8"/>
      <c r="B11" s="9"/>
      <c r="C11" s="9"/>
      <c r="D11" s="9"/>
      <c r="E11" s="9"/>
      <c r="F11" s="9" t="s">
        <v>44</v>
      </c>
      <c r="G11" s="9"/>
      <c r="H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ht="15.75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ht="15.75" customHeight="1" x14ac:dyDescent="0.25">
      <c r="A13" s="5"/>
      <c r="B13" s="6" t="s">
        <v>49</v>
      </c>
      <c r="C13" s="5"/>
      <c r="D13" s="5"/>
      <c r="E13" s="5"/>
      <c r="F13" s="5"/>
      <c r="G13" s="5"/>
      <c r="H13" s="5"/>
      <c r="I13" s="6" t="s">
        <v>50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.75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ht="15.75" customHeight="1" x14ac:dyDescent="0.25">
      <c r="A15" s="7"/>
      <c r="B15" s="9" t="s">
        <v>32</v>
      </c>
      <c r="C15" s="9" t="s">
        <v>33</v>
      </c>
      <c r="D15" s="9" t="s">
        <v>34</v>
      </c>
      <c r="E15" s="9" t="s">
        <v>35</v>
      </c>
      <c r="F15" s="9" t="s">
        <v>36</v>
      </c>
      <c r="G15" s="9" t="s">
        <v>37</v>
      </c>
      <c r="H15" s="7"/>
      <c r="I15" s="9" t="s">
        <v>32</v>
      </c>
      <c r="J15" s="9" t="s">
        <v>33</v>
      </c>
      <c r="K15" s="9" t="s">
        <v>34</v>
      </c>
      <c r="L15" s="9" t="s">
        <v>35</v>
      </c>
      <c r="M15" s="9" t="s">
        <v>36</v>
      </c>
      <c r="N15" s="9" t="s">
        <v>37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.75" customHeight="1" x14ac:dyDescent="0.25">
      <c r="A16" s="7"/>
      <c r="B16" s="9" t="s">
        <v>38</v>
      </c>
      <c r="C16" s="10">
        <v>100</v>
      </c>
      <c r="D16" s="11">
        <v>45803</v>
      </c>
      <c r="E16" s="12">
        <v>45870</v>
      </c>
      <c r="F16" s="9" t="s">
        <v>39</v>
      </c>
      <c r="G16" s="12">
        <f t="shared" ref="G16:G17" si="2">E16-9</f>
        <v>45861</v>
      </c>
      <c r="H16" s="7"/>
      <c r="I16" s="9" t="s">
        <v>38</v>
      </c>
      <c r="J16" s="10">
        <v>100</v>
      </c>
      <c r="K16" s="11">
        <v>45803</v>
      </c>
      <c r="L16" s="12">
        <v>45870</v>
      </c>
      <c r="M16" s="9" t="s">
        <v>39</v>
      </c>
      <c r="N16" s="12">
        <f t="shared" ref="N16:N17" si="3">L16-9</f>
        <v>45861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.75" customHeight="1" x14ac:dyDescent="0.25">
      <c r="A17" s="7"/>
      <c r="B17" s="14" t="s">
        <v>42</v>
      </c>
      <c r="C17" s="10">
        <v>100</v>
      </c>
      <c r="D17" s="11">
        <v>45803</v>
      </c>
      <c r="E17" s="12">
        <v>45870</v>
      </c>
      <c r="F17" s="9" t="s">
        <v>43</v>
      </c>
      <c r="G17" s="12">
        <f t="shared" si="2"/>
        <v>45861</v>
      </c>
      <c r="H17" s="7"/>
      <c r="I17" s="9" t="s">
        <v>40</v>
      </c>
      <c r="J17" s="10">
        <v>100</v>
      </c>
      <c r="K17" s="11">
        <v>45803</v>
      </c>
      <c r="L17" s="12">
        <v>45870</v>
      </c>
      <c r="M17" s="9" t="s">
        <v>41</v>
      </c>
      <c r="N17" s="12">
        <f t="shared" si="3"/>
        <v>45861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.75" customHeight="1" x14ac:dyDescent="0.25">
      <c r="A18" s="7"/>
      <c r="B18" s="9"/>
      <c r="C18" s="9"/>
      <c r="D18" s="9"/>
      <c r="E18" s="9"/>
      <c r="F18" s="9"/>
      <c r="G18" s="9"/>
      <c r="H18" s="7"/>
      <c r="I18" s="9"/>
      <c r="J18" s="9"/>
      <c r="K18" s="9"/>
      <c r="L18" s="9"/>
      <c r="M18" s="9"/>
      <c r="N18" s="9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.75" customHeight="1" x14ac:dyDescent="0.25">
      <c r="A19" s="7"/>
      <c r="B19" s="9" t="s">
        <v>45</v>
      </c>
      <c r="C19" s="10">
        <v>100</v>
      </c>
      <c r="D19" s="12">
        <v>45873</v>
      </c>
      <c r="E19" s="15">
        <v>45940</v>
      </c>
      <c r="F19" s="9" t="s">
        <v>46</v>
      </c>
      <c r="G19" s="12">
        <f t="shared" ref="G19:G20" si="4">E19-9</f>
        <v>45931</v>
      </c>
      <c r="H19" s="7"/>
      <c r="I19" s="9" t="s">
        <v>45</v>
      </c>
      <c r="J19" s="10">
        <v>100</v>
      </c>
      <c r="K19" s="12">
        <v>45873</v>
      </c>
      <c r="L19" s="15">
        <v>45940</v>
      </c>
      <c r="M19" s="9" t="s">
        <v>46</v>
      </c>
      <c r="N19" s="12">
        <f t="shared" ref="N19:N20" si="5">L19-9</f>
        <v>45931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.75" customHeight="1" x14ac:dyDescent="0.25">
      <c r="A20" s="7"/>
      <c r="B20" s="9" t="s">
        <v>47</v>
      </c>
      <c r="C20" s="13">
        <v>100</v>
      </c>
      <c r="D20" s="12">
        <v>45873</v>
      </c>
      <c r="E20" s="15">
        <v>45940</v>
      </c>
      <c r="F20" s="9" t="s">
        <v>48</v>
      </c>
      <c r="G20" s="12">
        <f t="shared" si="4"/>
        <v>45931</v>
      </c>
      <c r="H20" s="7"/>
      <c r="I20" s="9" t="s">
        <v>47</v>
      </c>
      <c r="J20" s="13">
        <v>100</v>
      </c>
      <c r="K20" s="12">
        <v>45873</v>
      </c>
      <c r="L20" s="15">
        <v>45940</v>
      </c>
      <c r="M20" s="9" t="s">
        <v>48</v>
      </c>
      <c r="N20" s="12">
        <f t="shared" si="5"/>
        <v>45931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customHeight="1" x14ac:dyDescent="0.25">
      <c r="A21" s="7"/>
      <c r="B21" s="9"/>
      <c r="C21" s="9"/>
      <c r="D21" s="9"/>
      <c r="E21" s="9"/>
      <c r="F21" s="9" t="s">
        <v>44</v>
      </c>
      <c r="G21" s="9"/>
      <c r="H21" s="7"/>
      <c r="I21" s="9"/>
      <c r="J21" s="9"/>
      <c r="K21" s="9"/>
      <c r="L21" s="9"/>
      <c r="M21" s="9" t="s">
        <v>44</v>
      </c>
      <c r="N21" s="9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.7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.75" customHeight="1" x14ac:dyDescent="0.25">
      <c r="A23" s="5"/>
      <c r="B23" s="6" t="s">
        <v>51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5.75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.75" customHeight="1" x14ac:dyDescent="0.25">
      <c r="A25" s="7"/>
      <c r="B25" s="9" t="s">
        <v>32</v>
      </c>
      <c r="C25" s="9" t="s">
        <v>33</v>
      </c>
      <c r="D25" s="9" t="s">
        <v>34</v>
      </c>
      <c r="E25" s="9" t="s">
        <v>35</v>
      </c>
      <c r="F25" s="9" t="s">
        <v>36</v>
      </c>
      <c r="G25" s="9" t="s">
        <v>37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.75" customHeight="1" x14ac:dyDescent="0.25">
      <c r="A26" s="7"/>
      <c r="B26" s="9" t="s">
        <v>38</v>
      </c>
      <c r="C26" s="10">
        <v>100</v>
      </c>
      <c r="D26" s="11">
        <v>45803</v>
      </c>
      <c r="E26" s="12">
        <v>45870</v>
      </c>
      <c r="F26" s="9" t="s">
        <v>39</v>
      </c>
      <c r="G26" s="12">
        <f t="shared" ref="G26:G27" si="6">E26-9</f>
        <v>45861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.75" customHeight="1" x14ac:dyDescent="0.25">
      <c r="A27" s="7"/>
      <c r="B27" s="14" t="s">
        <v>42</v>
      </c>
      <c r="C27" s="10">
        <v>100</v>
      </c>
      <c r="D27" s="11">
        <v>45803</v>
      </c>
      <c r="E27" s="12">
        <v>45870</v>
      </c>
      <c r="F27" s="9" t="s">
        <v>43</v>
      </c>
      <c r="G27" s="12">
        <f t="shared" si="6"/>
        <v>45861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.75" customHeight="1" x14ac:dyDescent="0.25">
      <c r="A28" s="7"/>
      <c r="B28" s="9"/>
      <c r="C28" s="9"/>
      <c r="D28" s="9"/>
      <c r="E28" s="9"/>
      <c r="F28" s="9"/>
      <c r="G28" s="9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.75" customHeight="1" x14ac:dyDescent="0.25">
      <c r="A29" s="7"/>
      <c r="B29" s="9" t="s">
        <v>45</v>
      </c>
      <c r="C29" s="10">
        <v>100</v>
      </c>
      <c r="D29" s="12">
        <v>45873</v>
      </c>
      <c r="E29" s="15">
        <v>45940</v>
      </c>
      <c r="F29" s="9" t="s">
        <v>46</v>
      </c>
      <c r="G29" s="12">
        <f t="shared" ref="G29:G30" si="7">E29-9</f>
        <v>45931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.75" customHeight="1" x14ac:dyDescent="0.25">
      <c r="A30" s="7"/>
      <c r="B30" s="9" t="s">
        <v>40</v>
      </c>
      <c r="C30" s="13">
        <v>100</v>
      </c>
      <c r="D30" s="12">
        <v>45873</v>
      </c>
      <c r="E30" s="15">
        <v>45940</v>
      </c>
      <c r="F30" s="9" t="s">
        <v>41</v>
      </c>
      <c r="G30" s="12">
        <f t="shared" si="7"/>
        <v>45931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75" customHeight="1" x14ac:dyDescent="0.25">
      <c r="A31" s="7"/>
      <c r="B31" s="9"/>
      <c r="C31" s="9"/>
      <c r="D31" s="9"/>
      <c r="E31" s="9"/>
      <c r="F31" s="9" t="s">
        <v>44</v>
      </c>
      <c r="G31" s="9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5.75" customHeight="1" x14ac:dyDescent="0.25">
      <c r="A33" s="5"/>
      <c r="B33" s="6" t="s">
        <v>52</v>
      </c>
      <c r="C33" s="6"/>
      <c r="D33" s="6"/>
      <c r="E33" s="5"/>
      <c r="F33" s="5"/>
      <c r="G33" s="5"/>
      <c r="H33" s="5"/>
      <c r="I33" s="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5.75" customHeight="1" x14ac:dyDescent="0.25">
      <c r="A35" s="8"/>
      <c r="B35" s="9" t="s">
        <v>53</v>
      </c>
      <c r="C35" s="9" t="s">
        <v>33</v>
      </c>
      <c r="D35" s="9" t="s">
        <v>34</v>
      </c>
      <c r="E35" s="9" t="s">
        <v>35</v>
      </c>
      <c r="F35" s="9" t="s">
        <v>36</v>
      </c>
      <c r="G35" s="9" t="s">
        <v>37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5.75" customHeight="1" x14ac:dyDescent="0.25">
      <c r="A36" s="8"/>
      <c r="B36" s="14" t="s">
        <v>54</v>
      </c>
      <c r="C36" s="10">
        <v>100</v>
      </c>
      <c r="D36" s="11">
        <v>45803</v>
      </c>
      <c r="E36" s="12">
        <v>45870</v>
      </c>
      <c r="F36" s="9" t="s">
        <v>55</v>
      </c>
      <c r="G36" s="12">
        <f t="shared" ref="G36:G37" si="8">E36-9</f>
        <v>45861</v>
      </c>
      <c r="H36" s="7"/>
      <c r="I36" s="19"/>
      <c r="J36" s="16"/>
      <c r="K36" s="17"/>
      <c r="L36" s="17"/>
      <c r="M36" s="7"/>
      <c r="N36" s="20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5.75" customHeight="1" x14ac:dyDescent="0.25">
      <c r="A37" s="8"/>
      <c r="B37" s="9" t="s">
        <v>56</v>
      </c>
      <c r="C37" s="10">
        <v>100</v>
      </c>
      <c r="D37" s="11">
        <v>45803</v>
      </c>
      <c r="E37" s="12">
        <v>45870</v>
      </c>
      <c r="F37" s="9" t="s">
        <v>57</v>
      </c>
      <c r="G37" s="12">
        <f t="shared" si="8"/>
        <v>45861</v>
      </c>
      <c r="H37" s="7"/>
      <c r="I37" s="7"/>
      <c r="J37" s="16"/>
      <c r="K37" s="17"/>
      <c r="L37" s="17"/>
      <c r="M37" s="7"/>
      <c r="N37" s="20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5.75" customHeight="1" x14ac:dyDescent="0.25">
      <c r="A38" s="8"/>
      <c r="B38" s="9"/>
      <c r="C38" s="9"/>
      <c r="D38" s="9"/>
      <c r="E38" s="9"/>
      <c r="F38" s="9"/>
      <c r="G38" s="9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5.75" customHeight="1" x14ac:dyDescent="0.25">
      <c r="A39" s="8"/>
      <c r="B39" s="14" t="s">
        <v>58</v>
      </c>
      <c r="C39" s="10">
        <v>100</v>
      </c>
      <c r="D39" s="12">
        <v>45873</v>
      </c>
      <c r="E39" s="15">
        <v>45940</v>
      </c>
      <c r="F39" s="9" t="s">
        <v>59</v>
      </c>
      <c r="G39" s="12">
        <f t="shared" ref="G39:G40" si="9">E39-9</f>
        <v>45931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5.75" customHeight="1" x14ac:dyDescent="0.25">
      <c r="A40" s="8"/>
      <c r="B40" s="9" t="s">
        <v>60</v>
      </c>
      <c r="C40" s="10">
        <v>100</v>
      </c>
      <c r="D40" s="12">
        <v>45873</v>
      </c>
      <c r="E40" s="15">
        <v>45940</v>
      </c>
      <c r="F40" s="9" t="s">
        <v>61</v>
      </c>
      <c r="G40" s="12">
        <f t="shared" si="9"/>
        <v>45931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5.75" customHeight="1" x14ac:dyDescent="0.25">
      <c r="A41" s="7"/>
      <c r="B41" s="9"/>
      <c r="C41" s="21"/>
      <c r="D41" s="21"/>
      <c r="E41" s="21"/>
      <c r="F41" s="9" t="s">
        <v>62</v>
      </c>
      <c r="G41" s="9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5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5.75" customHeight="1" x14ac:dyDescent="0.25">
      <c r="A43" s="5"/>
      <c r="B43" s="6" t="s">
        <v>63</v>
      </c>
      <c r="C43" s="5"/>
      <c r="D43" s="5"/>
      <c r="E43" s="5"/>
      <c r="F43" s="5"/>
      <c r="G43" s="5"/>
      <c r="H43" s="5"/>
      <c r="I43" s="6" t="s">
        <v>64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5.75" customHeight="1" x14ac:dyDescent="0.25">
      <c r="A45" s="7"/>
      <c r="B45" s="9" t="s">
        <v>65</v>
      </c>
      <c r="C45" s="9" t="s">
        <v>33</v>
      </c>
      <c r="D45" s="9" t="s">
        <v>34</v>
      </c>
      <c r="E45" s="9" t="s">
        <v>35</v>
      </c>
      <c r="F45" s="9" t="s">
        <v>36</v>
      </c>
      <c r="G45" s="9" t="s">
        <v>37</v>
      </c>
      <c r="H45" s="7"/>
      <c r="I45" s="9" t="s">
        <v>65</v>
      </c>
      <c r="J45" s="9" t="s">
        <v>33</v>
      </c>
      <c r="K45" s="9" t="s">
        <v>34</v>
      </c>
      <c r="L45" s="9" t="s">
        <v>35</v>
      </c>
      <c r="M45" s="9" t="s">
        <v>36</v>
      </c>
      <c r="N45" s="9" t="s">
        <v>37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5.75" customHeight="1" x14ac:dyDescent="0.25">
      <c r="A46" s="7"/>
      <c r="B46" s="9" t="s">
        <v>66</v>
      </c>
      <c r="C46" s="10">
        <v>100</v>
      </c>
      <c r="D46" s="11">
        <v>45803</v>
      </c>
      <c r="E46" s="12">
        <v>45870</v>
      </c>
      <c r="F46" s="9" t="s">
        <v>67</v>
      </c>
      <c r="G46" s="12">
        <f t="shared" ref="G46:G47" si="10">E46-9</f>
        <v>45861</v>
      </c>
      <c r="H46" s="7"/>
      <c r="I46" s="9" t="s">
        <v>66</v>
      </c>
      <c r="J46" s="10">
        <v>100</v>
      </c>
      <c r="K46" s="11">
        <v>45803</v>
      </c>
      <c r="L46" s="12">
        <v>45870</v>
      </c>
      <c r="M46" s="9" t="s">
        <v>67</v>
      </c>
      <c r="N46" s="12">
        <f t="shared" ref="N46:N47" si="11">L46-9</f>
        <v>45861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5.75" customHeight="1" x14ac:dyDescent="0.25">
      <c r="A47" s="7"/>
      <c r="B47" s="14" t="s">
        <v>58</v>
      </c>
      <c r="C47" s="10">
        <v>100</v>
      </c>
      <c r="D47" s="11">
        <v>45803</v>
      </c>
      <c r="E47" s="12">
        <v>45870</v>
      </c>
      <c r="F47" s="9" t="s">
        <v>59</v>
      </c>
      <c r="G47" s="12">
        <f t="shared" si="10"/>
        <v>45861</v>
      </c>
      <c r="H47" s="7"/>
      <c r="I47" s="14" t="s">
        <v>58</v>
      </c>
      <c r="J47" s="10">
        <v>100</v>
      </c>
      <c r="K47" s="11">
        <v>45803</v>
      </c>
      <c r="L47" s="12">
        <v>45870</v>
      </c>
      <c r="M47" s="9" t="s">
        <v>59</v>
      </c>
      <c r="N47" s="12">
        <f t="shared" si="11"/>
        <v>45861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5.75" customHeight="1" x14ac:dyDescent="0.25">
      <c r="A48" s="7"/>
      <c r="B48" s="9"/>
      <c r="C48" s="9"/>
      <c r="D48" s="9"/>
      <c r="E48" s="9"/>
      <c r="F48" s="9"/>
      <c r="G48" s="9"/>
      <c r="H48" s="7"/>
      <c r="I48" s="9"/>
      <c r="J48" s="9"/>
      <c r="K48" s="9"/>
      <c r="L48" s="9"/>
      <c r="M48" s="9"/>
      <c r="N48" s="9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5.75" customHeight="1" x14ac:dyDescent="0.25">
      <c r="A49" s="7"/>
      <c r="B49" s="9" t="s">
        <v>68</v>
      </c>
      <c r="C49" s="10">
        <v>100</v>
      </c>
      <c r="D49" s="12">
        <v>45873</v>
      </c>
      <c r="E49" s="15">
        <v>45940</v>
      </c>
      <c r="F49" s="9" t="s">
        <v>69</v>
      </c>
      <c r="G49" s="12">
        <f t="shared" ref="G49:G50" si="12">E49-9</f>
        <v>45931</v>
      </c>
      <c r="H49" s="7"/>
      <c r="I49" s="9"/>
      <c r="J49" s="9"/>
      <c r="K49" s="9"/>
      <c r="L49" s="9"/>
      <c r="M49" s="9" t="s">
        <v>62</v>
      </c>
      <c r="N49" s="22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5.75" customHeight="1" x14ac:dyDescent="0.25">
      <c r="A50" s="7"/>
      <c r="B50" s="9" t="s">
        <v>70</v>
      </c>
      <c r="C50" s="10">
        <v>100</v>
      </c>
      <c r="D50" s="12">
        <v>45873</v>
      </c>
      <c r="E50" s="15">
        <v>45940</v>
      </c>
      <c r="F50" s="9" t="s">
        <v>71</v>
      </c>
      <c r="G50" s="12">
        <f t="shared" si="12"/>
        <v>45931</v>
      </c>
      <c r="H50" s="7"/>
      <c r="I50" s="7"/>
      <c r="J50" s="16"/>
      <c r="K50" s="17"/>
      <c r="L50" s="18"/>
      <c r="M50" s="7"/>
      <c r="N50" s="1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5.75" customHeight="1" x14ac:dyDescent="0.25">
      <c r="A51" s="7"/>
      <c r="B51" s="9"/>
      <c r="C51" s="9"/>
      <c r="D51" s="9"/>
      <c r="E51" s="9"/>
      <c r="F51" s="9" t="s">
        <v>62</v>
      </c>
      <c r="G51" s="22"/>
      <c r="H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5.75" customHeight="1" x14ac:dyDescent="0.25">
      <c r="A52" s="7"/>
      <c r="B52" s="7"/>
      <c r="C52" s="23"/>
      <c r="D52" s="23"/>
      <c r="E52" s="23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5.75" customHeight="1" x14ac:dyDescent="0.25">
      <c r="A53" s="5"/>
      <c r="B53" s="6" t="s">
        <v>72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.75" customHeight="1" x14ac:dyDescent="0.25">
      <c r="A54" s="7"/>
      <c r="B54" s="7"/>
      <c r="C54" s="7"/>
      <c r="D54" s="7"/>
      <c r="E54" s="7"/>
      <c r="F54" s="7"/>
      <c r="G54" s="24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5.75" customHeight="1" x14ac:dyDescent="0.25">
      <c r="A55" s="7"/>
      <c r="B55" s="9" t="s">
        <v>73</v>
      </c>
      <c r="C55" s="9" t="s">
        <v>33</v>
      </c>
      <c r="D55" s="9" t="s">
        <v>34</v>
      </c>
      <c r="E55" s="9" t="s">
        <v>35</v>
      </c>
      <c r="F55" s="9" t="s">
        <v>36</v>
      </c>
      <c r="G55" s="9" t="s">
        <v>37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5.75" customHeight="1" x14ac:dyDescent="0.25">
      <c r="A56" s="7"/>
      <c r="B56" s="22" t="s">
        <v>56</v>
      </c>
      <c r="C56" s="10">
        <v>100</v>
      </c>
      <c r="D56" s="11">
        <v>45803</v>
      </c>
      <c r="E56" s="12">
        <v>45870</v>
      </c>
      <c r="F56" s="9" t="s">
        <v>57</v>
      </c>
      <c r="G56" s="12">
        <f t="shared" ref="G56:G57" si="13">E56-9</f>
        <v>45861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5.75" customHeight="1" x14ac:dyDescent="0.25">
      <c r="A57" s="7"/>
      <c r="B57" s="22" t="s">
        <v>74</v>
      </c>
      <c r="C57" s="10">
        <v>100</v>
      </c>
      <c r="D57" s="11">
        <v>45803</v>
      </c>
      <c r="E57" s="12">
        <v>45870</v>
      </c>
      <c r="F57" s="9" t="s">
        <v>75</v>
      </c>
      <c r="G57" s="12">
        <f t="shared" si="13"/>
        <v>45861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5.75" customHeight="1" x14ac:dyDescent="0.25">
      <c r="A58" s="7"/>
      <c r="B58" s="9"/>
      <c r="C58" s="9"/>
      <c r="D58" s="9"/>
      <c r="E58" s="9"/>
      <c r="F58" s="9"/>
      <c r="G58" s="9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5.75" customHeight="1" x14ac:dyDescent="0.25">
      <c r="A59" s="7"/>
      <c r="B59" s="22" t="s">
        <v>76</v>
      </c>
      <c r="C59" s="10">
        <v>100</v>
      </c>
      <c r="D59" s="12">
        <v>45873</v>
      </c>
      <c r="E59" s="15">
        <v>45940</v>
      </c>
      <c r="F59" s="9" t="s">
        <v>77</v>
      </c>
      <c r="G59" s="12">
        <f t="shared" ref="G59:G60" si="14">E59-9</f>
        <v>45931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.75" customHeight="1" x14ac:dyDescent="0.25">
      <c r="A60" s="7"/>
      <c r="B60" s="22" t="s">
        <v>78</v>
      </c>
      <c r="C60" s="10">
        <v>100</v>
      </c>
      <c r="D60" s="12">
        <v>45873</v>
      </c>
      <c r="E60" s="15">
        <v>45940</v>
      </c>
      <c r="F60" s="9" t="s">
        <v>79</v>
      </c>
      <c r="G60" s="12">
        <f t="shared" si="14"/>
        <v>45931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5.75" customHeight="1" x14ac:dyDescent="0.25">
      <c r="A61" s="7"/>
      <c r="B61" s="9"/>
      <c r="C61" s="9"/>
      <c r="D61" s="9"/>
      <c r="E61" s="9"/>
      <c r="F61" s="9" t="s">
        <v>62</v>
      </c>
      <c r="G61" s="22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5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5.75" customHeight="1" x14ac:dyDescent="0.25">
      <c r="A63" s="5"/>
      <c r="B63" s="6" t="s">
        <v>80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.75" customHeight="1" x14ac:dyDescent="0.25">
      <c r="A64" s="7"/>
      <c r="B64" s="25"/>
      <c r="C64" s="25"/>
      <c r="D64" s="25"/>
      <c r="E64" s="25"/>
      <c r="F64" s="25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5.75" customHeight="1" x14ac:dyDescent="0.25">
      <c r="A65" s="7"/>
      <c r="B65" s="9" t="s">
        <v>81</v>
      </c>
      <c r="C65" s="9" t="s">
        <v>33</v>
      </c>
      <c r="D65" s="9" t="s">
        <v>34</v>
      </c>
      <c r="E65" s="9" t="s">
        <v>35</v>
      </c>
      <c r="F65" s="9" t="s">
        <v>36</v>
      </c>
      <c r="G65" s="9" t="s">
        <v>37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5.75" customHeight="1" x14ac:dyDescent="0.25">
      <c r="A66" s="8"/>
      <c r="B66" s="22" t="s">
        <v>82</v>
      </c>
      <c r="C66" s="10">
        <v>100</v>
      </c>
      <c r="D66" s="11">
        <v>45803</v>
      </c>
      <c r="E66" s="12">
        <v>45870</v>
      </c>
      <c r="F66" s="9" t="s">
        <v>83</v>
      </c>
      <c r="G66" s="12">
        <f t="shared" ref="G66:G67" si="15">E66-9</f>
        <v>45861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5.75" customHeight="1" x14ac:dyDescent="0.25">
      <c r="A67" s="8"/>
      <c r="B67" s="22" t="s">
        <v>76</v>
      </c>
      <c r="C67" s="10">
        <v>100</v>
      </c>
      <c r="D67" s="11">
        <v>45803</v>
      </c>
      <c r="E67" s="12">
        <v>45870</v>
      </c>
      <c r="F67" s="22" t="s">
        <v>77</v>
      </c>
      <c r="G67" s="12">
        <f t="shared" si="15"/>
        <v>45861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5.75" customHeight="1" x14ac:dyDescent="0.25">
      <c r="A68" s="8"/>
      <c r="B68" s="9"/>
      <c r="C68" s="9"/>
      <c r="D68" s="9"/>
      <c r="E68" s="9"/>
      <c r="F68" s="9"/>
      <c r="G68" s="9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5.75" customHeight="1" x14ac:dyDescent="0.25">
      <c r="A69" s="8"/>
      <c r="B69" s="22" t="s">
        <v>74</v>
      </c>
      <c r="C69" s="10">
        <v>100</v>
      </c>
      <c r="D69" s="12">
        <v>45873</v>
      </c>
      <c r="E69" s="15">
        <v>45940</v>
      </c>
      <c r="F69" s="22" t="s">
        <v>84</v>
      </c>
      <c r="G69" s="12">
        <f t="shared" ref="G69:G70" si="16">E69-9</f>
        <v>45931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5.75" customHeight="1" x14ac:dyDescent="0.25">
      <c r="A70" s="8"/>
      <c r="B70" s="22" t="s">
        <v>85</v>
      </c>
      <c r="C70" s="10">
        <v>100</v>
      </c>
      <c r="D70" s="12">
        <v>45873</v>
      </c>
      <c r="E70" s="15">
        <v>45940</v>
      </c>
      <c r="F70" s="22" t="s">
        <v>86</v>
      </c>
      <c r="G70" s="12">
        <f t="shared" si="16"/>
        <v>45931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5.75" customHeight="1" x14ac:dyDescent="0.25">
      <c r="A71" s="8"/>
      <c r="B71" s="9"/>
      <c r="C71" s="9"/>
      <c r="D71" s="9"/>
      <c r="E71" s="9"/>
      <c r="F71" s="9"/>
      <c r="G71" s="9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5.75" customHeight="1" x14ac:dyDescent="0.25">
      <c r="A72" s="8"/>
      <c r="B72" s="22" t="s">
        <v>87</v>
      </c>
      <c r="C72" s="13">
        <v>100</v>
      </c>
      <c r="D72" s="15">
        <v>45943</v>
      </c>
      <c r="E72" s="15">
        <v>45975</v>
      </c>
      <c r="F72" s="22" t="s">
        <v>88</v>
      </c>
      <c r="G72" s="12">
        <f>E72-9</f>
        <v>45966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5.75" customHeight="1" x14ac:dyDescent="0.25">
      <c r="A73" s="8"/>
      <c r="B73" s="9"/>
      <c r="C73" s="9"/>
      <c r="D73" s="9"/>
      <c r="E73" s="9"/>
      <c r="F73" s="9" t="s">
        <v>89</v>
      </c>
      <c r="G73" s="9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5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5.75" customHeight="1" x14ac:dyDescent="0.25">
      <c r="A75" s="5"/>
      <c r="B75" s="6" t="s">
        <v>90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.75" customHeight="1" x14ac:dyDescent="0.25">
      <c r="A76" s="7"/>
      <c r="B76" s="25"/>
      <c r="C76" s="25"/>
      <c r="D76" s="25"/>
      <c r="E76" s="25"/>
      <c r="F76" s="25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5.75" customHeight="1" x14ac:dyDescent="0.25">
      <c r="A77" s="7"/>
      <c r="B77" s="9" t="s">
        <v>91</v>
      </c>
      <c r="C77" s="9" t="s">
        <v>33</v>
      </c>
      <c r="D77" s="9" t="s">
        <v>34</v>
      </c>
      <c r="E77" s="9" t="s">
        <v>35</v>
      </c>
      <c r="F77" s="9" t="s">
        <v>36</v>
      </c>
      <c r="G77" s="9" t="s">
        <v>37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5.75" customHeight="1" x14ac:dyDescent="0.25">
      <c r="A78" s="8"/>
      <c r="B78" s="22" t="s">
        <v>92</v>
      </c>
      <c r="C78" s="10">
        <v>100</v>
      </c>
      <c r="D78" s="11">
        <v>45803</v>
      </c>
      <c r="E78" s="12">
        <v>45870</v>
      </c>
      <c r="F78" s="9" t="s">
        <v>93</v>
      </c>
      <c r="G78" s="12">
        <f t="shared" ref="G78:G79" si="17">E78-9</f>
        <v>45861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5.75" customHeight="1" x14ac:dyDescent="0.25">
      <c r="A79" s="8"/>
      <c r="B79" s="22" t="s">
        <v>94</v>
      </c>
      <c r="C79" s="10">
        <v>100</v>
      </c>
      <c r="D79" s="11">
        <v>45803</v>
      </c>
      <c r="E79" s="12">
        <v>45870</v>
      </c>
      <c r="F79" s="9" t="s">
        <v>95</v>
      </c>
      <c r="G79" s="12">
        <f t="shared" si="17"/>
        <v>45861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5.75" customHeight="1" x14ac:dyDescent="0.25">
      <c r="A80" s="8"/>
      <c r="B80" s="9"/>
      <c r="C80" s="9"/>
      <c r="D80" s="9"/>
      <c r="E80" s="9"/>
      <c r="F80" s="9"/>
      <c r="G80" s="9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5.75" customHeight="1" x14ac:dyDescent="0.25">
      <c r="A81" s="8"/>
      <c r="B81" s="22" t="s">
        <v>96</v>
      </c>
      <c r="C81" s="10">
        <v>100</v>
      </c>
      <c r="D81" s="12">
        <v>45873</v>
      </c>
      <c r="E81" s="15">
        <v>45940</v>
      </c>
      <c r="F81" s="9" t="s">
        <v>97</v>
      </c>
      <c r="G81" s="12">
        <f t="shared" ref="G81:G82" si="18">E81-9</f>
        <v>45931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5.75" customHeight="1" x14ac:dyDescent="0.25">
      <c r="A82" s="8"/>
      <c r="B82" s="22" t="s">
        <v>98</v>
      </c>
      <c r="C82" s="10">
        <v>100</v>
      </c>
      <c r="D82" s="12">
        <v>45873</v>
      </c>
      <c r="E82" s="15">
        <v>45940</v>
      </c>
      <c r="F82" s="22" t="s">
        <v>99</v>
      </c>
      <c r="G82" s="12">
        <f t="shared" si="18"/>
        <v>45931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5.75" customHeight="1" x14ac:dyDescent="0.25">
      <c r="A83" s="8"/>
      <c r="B83" s="9"/>
      <c r="C83" s="9"/>
      <c r="D83" s="9"/>
      <c r="E83" s="9"/>
      <c r="F83" s="9" t="s">
        <v>62</v>
      </c>
      <c r="G83" s="22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5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5.75" customHeight="1" x14ac:dyDescent="0.25">
      <c r="A85" s="26"/>
      <c r="B85" s="27" t="s">
        <v>100</v>
      </c>
      <c r="C85" s="26"/>
      <c r="D85" s="26"/>
      <c r="E85" s="26"/>
      <c r="F85" s="26"/>
      <c r="G85" s="26"/>
      <c r="H85" s="26"/>
      <c r="I85" s="27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7"/>
    </row>
    <row r="86" spans="1:28" ht="15.75" customHeight="1" x14ac:dyDescent="0.25">
      <c r="A86" s="7"/>
      <c r="B86" s="25"/>
      <c r="C86" s="25"/>
      <c r="D86" s="25"/>
      <c r="E86" s="25"/>
      <c r="F86" s="25"/>
      <c r="G86" s="2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5.75" customHeight="1" x14ac:dyDescent="0.25">
      <c r="A87" s="8"/>
      <c r="B87" s="9" t="s">
        <v>101</v>
      </c>
      <c r="C87" s="9" t="s">
        <v>33</v>
      </c>
      <c r="D87" s="9" t="s">
        <v>34</v>
      </c>
      <c r="E87" s="9" t="s">
        <v>35</v>
      </c>
      <c r="F87" s="9" t="s">
        <v>36</v>
      </c>
      <c r="G87" s="9" t="s">
        <v>37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5.75" customHeight="1" x14ac:dyDescent="0.25">
      <c r="A88" s="8"/>
      <c r="B88" s="22" t="s">
        <v>102</v>
      </c>
      <c r="C88" s="10">
        <v>100</v>
      </c>
      <c r="D88" s="11">
        <v>45803</v>
      </c>
      <c r="E88" s="12">
        <v>45870</v>
      </c>
      <c r="F88" s="22" t="s">
        <v>103</v>
      </c>
      <c r="G88" s="12">
        <f t="shared" ref="G88:G89" si="19">E88-9</f>
        <v>45861</v>
      </c>
      <c r="H88" s="7"/>
      <c r="I88" s="24"/>
      <c r="J88" s="16"/>
      <c r="K88" s="17"/>
      <c r="L88" s="17"/>
      <c r="M88" s="24"/>
      <c r="N88" s="1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5.75" customHeight="1" x14ac:dyDescent="0.25">
      <c r="A89" s="8"/>
      <c r="B89" s="22" t="s">
        <v>104</v>
      </c>
      <c r="C89" s="10">
        <v>100</v>
      </c>
      <c r="D89" s="11">
        <v>45803</v>
      </c>
      <c r="E89" s="12">
        <v>45870</v>
      </c>
      <c r="F89" s="22" t="s">
        <v>105</v>
      </c>
      <c r="G89" s="12">
        <f t="shared" si="19"/>
        <v>45861</v>
      </c>
      <c r="H89" s="7"/>
      <c r="I89" s="24"/>
      <c r="J89" s="16"/>
      <c r="K89" s="17"/>
      <c r="L89" s="17"/>
      <c r="M89" s="24"/>
      <c r="N89" s="1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5.75" customHeight="1" x14ac:dyDescent="0.25">
      <c r="A90" s="8"/>
      <c r="B90" s="22"/>
      <c r="C90" s="9"/>
      <c r="D90" s="9"/>
      <c r="E90" s="9"/>
      <c r="F90" s="22"/>
      <c r="G90" s="9"/>
      <c r="H90" s="7"/>
      <c r="I90" s="24"/>
      <c r="J90" s="7"/>
      <c r="K90" s="7"/>
      <c r="L90" s="7"/>
      <c r="M90" s="24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5.75" customHeight="1" x14ac:dyDescent="0.25">
      <c r="A91" s="8"/>
      <c r="B91" s="22" t="s">
        <v>106</v>
      </c>
      <c r="C91" s="10">
        <v>100</v>
      </c>
      <c r="D91" s="12">
        <v>45873</v>
      </c>
      <c r="E91" s="15">
        <v>45940</v>
      </c>
      <c r="F91" s="22" t="s">
        <v>107</v>
      </c>
      <c r="G91" s="12">
        <f t="shared" ref="G91:G92" si="20">E91-9</f>
        <v>45931</v>
      </c>
      <c r="H91" s="7"/>
      <c r="I91" s="24"/>
      <c r="J91" s="16"/>
      <c r="K91" s="18"/>
      <c r="L91" s="18"/>
      <c r="M91" s="24"/>
      <c r="N91" s="18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5.75" customHeight="1" x14ac:dyDescent="0.25">
      <c r="A92" s="8"/>
      <c r="B92" s="22" t="s">
        <v>108</v>
      </c>
      <c r="C92" s="10">
        <v>100</v>
      </c>
      <c r="D92" s="12">
        <v>45873</v>
      </c>
      <c r="E92" s="15">
        <v>45940</v>
      </c>
      <c r="F92" s="22" t="s">
        <v>109</v>
      </c>
      <c r="G92" s="12">
        <f t="shared" si="20"/>
        <v>45931</v>
      </c>
      <c r="H92" s="7"/>
      <c r="I92" s="24"/>
      <c r="J92" s="16"/>
      <c r="K92" s="17"/>
      <c r="L92" s="18"/>
      <c r="M92" s="7"/>
      <c r="N92" s="18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5.75" customHeight="1" x14ac:dyDescent="0.25">
      <c r="A93" s="8"/>
      <c r="B93" s="22"/>
      <c r="C93" s="9"/>
      <c r="D93" s="9"/>
      <c r="E93" s="9"/>
      <c r="F93" s="22"/>
      <c r="G93" s="9"/>
      <c r="H93" s="7"/>
      <c r="I93" s="24"/>
      <c r="J93" s="7"/>
      <c r="K93" s="7"/>
      <c r="L93" s="7"/>
      <c r="M93" s="24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5.75" customHeight="1" x14ac:dyDescent="0.25">
      <c r="A94" s="8"/>
      <c r="B94" s="22" t="s">
        <v>110</v>
      </c>
      <c r="C94" s="10">
        <v>100</v>
      </c>
      <c r="D94" s="15">
        <v>45943</v>
      </c>
      <c r="E94" s="15">
        <v>46010</v>
      </c>
      <c r="F94" s="22" t="s">
        <v>111</v>
      </c>
      <c r="G94" s="12">
        <f t="shared" ref="G94:G95" si="21">E94-9</f>
        <v>46001</v>
      </c>
      <c r="H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5.75" customHeight="1" x14ac:dyDescent="0.25">
      <c r="A95" s="8"/>
      <c r="B95" s="22" t="s">
        <v>112</v>
      </c>
      <c r="C95" s="10">
        <v>100</v>
      </c>
      <c r="D95" s="15">
        <v>45943</v>
      </c>
      <c r="E95" s="15">
        <v>46010</v>
      </c>
      <c r="F95" s="22" t="s">
        <v>113</v>
      </c>
      <c r="G95" s="12">
        <f t="shared" si="21"/>
        <v>46001</v>
      </c>
      <c r="H95" s="7"/>
      <c r="I95" s="24"/>
      <c r="J95" s="16"/>
      <c r="K95" s="18"/>
      <c r="L95" s="18"/>
      <c r="M95" s="24"/>
      <c r="N95" s="18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5.75" customHeight="1" x14ac:dyDescent="0.25">
      <c r="A96" s="8"/>
      <c r="B96" s="22"/>
      <c r="C96" s="9"/>
      <c r="D96" s="9"/>
      <c r="E96" s="28"/>
      <c r="F96" s="22"/>
      <c r="G96" s="28"/>
      <c r="H96" s="7"/>
      <c r="I96" s="24"/>
      <c r="J96" s="7"/>
      <c r="K96" s="7"/>
      <c r="L96" s="20"/>
      <c r="M96" s="24"/>
      <c r="N96" s="20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5.75" customHeight="1" x14ac:dyDescent="0.25">
      <c r="A97" s="8"/>
      <c r="B97" s="22" t="s">
        <v>114</v>
      </c>
      <c r="C97" s="10">
        <v>100</v>
      </c>
      <c r="D97" s="15">
        <v>46013</v>
      </c>
      <c r="E97" s="15">
        <v>46080</v>
      </c>
      <c r="F97" s="22" t="s">
        <v>115</v>
      </c>
      <c r="G97" s="12">
        <f t="shared" ref="G97:G98" si="22">E97-9</f>
        <v>46071</v>
      </c>
      <c r="H97" s="7"/>
      <c r="I97" s="24"/>
      <c r="J97" s="16"/>
      <c r="K97" s="18"/>
      <c r="L97" s="18"/>
      <c r="M97" s="24"/>
      <c r="N97" s="18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5.75" customHeight="1" x14ac:dyDescent="0.25">
      <c r="A98" s="8"/>
      <c r="B98" s="22" t="s">
        <v>116</v>
      </c>
      <c r="C98" s="10">
        <v>100</v>
      </c>
      <c r="D98" s="15">
        <v>46013</v>
      </c>
      <c r="E98" s="15">
        <v>46080</v>
      </c>
      <c r="F98" s="22" t="s">
        <v>117</v>
      </c>
      <c r="G98" s="12">
        <f t="shared" si="22"/>
        <v>46071</v>
      </c>
      <c r="H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5.75" customHeight="1" x14ac:dyDescent="0.25">
      <c r="A99" s="8"/>
      <c r="B99" s="22"/>
      <c r="C99" s="9"/>
      <c r="D99" s="9"/>
      <c r="E99" s="28"/>
      <c r="F99" s="22"/>
      <c r="G99" s="28"/>
      <c r="H99" s="7"/>
      <c r="I99" s="24"/>
      <c r="J99" s="7"/>
      <c r="K99" s="7"/>
      <c r="L99" s="20"/>
      <c r="M99" s="24"/>
      <c r="N99" s="20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5.75" customHeight="1" x14ac:dyDescent="0.25">
      <c r="A100" s="8"/>
      <c r="B100" s="22" t="s">
        <v>118</v>
      </c>
      <c r="C100" s="10">
        <v>100</v>
      </c>
      <c r="D100" s="15">
        <v>46083</v>
      </c>
      <c r="E100" s="15">
        <v>46115</v>
      </c>
      <c r="F100" s="22" t="s">
        <v>119</v>
      </c>
      <c r="G100" s="12">
        <f>E100-9</f>
        <v>46106</v>
      </c>
      <c r="H100" s="7"/>
      <c r="I100" s="24"/>
      <c r="J100" s="16"/>
      <c r="K100" s="18"/>
      <c r="L100" s="18"/>
      <c r="M100" s="24"/>
      <c r="N100" s="18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5.75" customHeight="1" x14ac:dyDescent="0.25">
      <c r="A101" s="7"/>
      <c r="B101" s="9"/>
      <c r="C101" s="9"/>
      <c r="D101" s="9"/>
      <c r="E101" s="9"/>
      <c r="F101" s="9" t="s">
        <v>120</v>
      </c>
      <c r="G101" s="9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5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5.75" customHeight="1" x14ac:dyDescent="0.25">
      <c r="A103" s="26"/>
      <c r="B103" s="27" t="s">
        <v>121</v>
      </c>
      <c r="C103" s="26"/>
      <c r="D103" s="26"/>
      <c r="E103" s="26"/>
      <c r="F103" s="26"/>
      <c r="G103" s="26"/>
      <c r="H103" s="26"/>
      <c r="I103" s="27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7"/>
    </row>
    <row r="104" spans="1:28" ht="15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5.75" customHeight="1" x14ac:dyDescent="0.25">
      <c r="A105" s="7"/>
      <c r="B105" s="9" t="s">
        <v>122</v>
      </c>
      <c r="C105" s="9" t="s">
        <v>33</v>
      </c>
      <c r="D105" s="9" t="s">
        <v>34</v>
      </c>
      <c r="E105" s="9" t="s">
        <v>35</v>
      </c>
      <c r="F105" s="9" t="s">
        <v>36</v>
      </c>
      <c r="G105" s="9" t="s">
        <v>37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5.75" customHeight="1" x14ac:dyDescent="0.25">
      <c r="A106" s="7"/>
      <c r="B106" s="22" t="s">
        <v>102</v>
      </c>
      <c r="C106" s="10">
        <v>100</v>
      </c>
      <c r="D106" s="11">
        <v>45803</v>
      </c>
      <c r="E106" s="12">
        <v>45870</v>
      </c>
      <c r="F106" s="22" t="s">
        <v>103</v>
      </c>
      <c r="G106" s="12">
        <f t="shared" ref="G106:G107" si="23">E106-9</f>
        <v>45861</v>
      </c>
      <c r="H106" s="7"/>
      <c r="I106" s="24"/>
      <c r="J106" s="16"/>
      <c r="K106" s="17"/>
      <c r="L106" s="17"/>
      <c r="M106" s="24"/>
      <c r="N106" s="20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5.75" customHeight="1" x14ac:dyDescent="0.25">
      <c r="A107" s="7"/>
      <c r="B107" s="22" t="s">
        <v>104</v>
      </c>
      <c r="C107" s="10">
        <v>100</v>
      </c>
      <c r="D107" s="11">
        <v>45803</v>
      </c>
      <c r="E107" s="12">
        <v>45870</v>
      </c>
      <c r="F107" s="22" t="s">
        <v>105</v>
      </c>
      <c r="G107" s="12">
        <f t="shared" si="23"/>
        <v>45861</v>
      </c>
      <c r="H107" s="7"/>
      <c r="I107" s="24"/>
      <c r="J107" s="16"/>
      <c r="K107" s="17"/>
      <c r="L107" s="17"/>
      <c r="M107" s="24"/>
      <c r="N107" s="20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5.75" customHeight="1" x14ac:dyDescent="0.25">
      <c r="A108" s="7"/>
      <c r="B108" s="22"/>
      <c r="C108" s="9"/>
      <c r="D108" s="9"/>
      <c r="E108" s="9"/>
      <c r="F108" s="22"/>
      <c r="G108" s="9"/>
      <c r="H108" s="7"/>
      <c r="I108" s="24"/>
      <c r="J108" s="7"/>
      <c r="K108" s="7"/>
      <c r="L108" s="7"/>
      <c r="M108" s="24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5.75" customHeight="1" x14ac:dyDescent="0.25">
      <c r="A109" s="7"/>
      <c r="B109" s="22" t="s">
        <v>106</v>
      </c>
      <c r="C109" s="10">
        <v>100</v>
      </c>
      <c r="D109" s="12">
        <v>45873</v>
      </c>
      <c r="E109" s="15">
        <v>45940</v>
      </c>
      <c r="F109" s="22" t="s">
        <v>107</v>
      </c>
      <c r="G109" s="12">
        <f t="shared" ref="G109:G110" si="24">E109-9</f>
        <v>45931</v>
      </c>
      <c r="H109" s="7"/>
      <c r="I109" s="24"/>
      <c r="J109" s="16"/>
      <c r="K109" s="17"/>
      <c r="L109" s="17"/>
      <c r="M109" s="24"/>
      <c r="N109" s="20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5.75" customHeight="1" x14ac:dyDescent="0.25">
      <c r="A110" s="7"/>
      <c r="B110" s="22" t="s">
        <v>108</v>
      </c>
      <c r="C110" s="10">
        <v>100</v>
      </c>
      <c r="D110" s="12">
        <v>45873</v>
      </c>
      <c r="E110" s="15">
        <v>45940</v>
      </c>
      <c r="F110" s="22" t="s">
        <v>109</v>
      </c>
      <c r="G110" s="12">
        <f t="shared" si="24"/>
        <v>45931</v>
      </c>
      <c r="H110" s="7"/>
      <c r="I110" s="24"/>
      <c r="J110" s="16"/>
      <c r="K110" s="17"/>
      <c r="L110" s="17"/>
      <c r="M110" s="24"/>
      <c r="N110" s="20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5.75" customHeight="1" x14ac:dyDescent="0.25">
      <c r="A111" s="7"/>
      <c r="B111" s="22"/>
      <c r="C111" s="9"/>
      <c r="D111" s="9"/>
      <c r="E111" s="9"/>
      <c r="F111" s="22"/>
      <c r="G111" s="9"/>
      <c r="H111" s="7"/>
      <c r="I111" s="24"/>
      <c r="J111" s="7"/>
      <c r="K111" s="7"/>
      <c r="L111" s="20"/>
      <c r="M111" s="24"/>
      <c r="N111" s="20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5.75" customHeight="1" x14ac:dyDescent="0.25">
      <c r="A112" s="7"/>
      <c r="B112" s="22" t="s">
        <v>110</v>
      </c>
      <c r="C112" s="10">
        <v>100</v>
      </c>
      <c r="D112" s="15">
        <v>45943</v>
      </c>
      <c r="E112" s="15">
        <v>46010</v>
      </c>
      <c r="F112" s="22" t="s">
        <v>111</v>
      </c>
      <c r="G112" s="12">
        <f t="shared" ref="G112:G113" si="25">E112-9</f>
        <v>46001</v>
      </c>
      <c r="H112" s="7"/>
      <c r="I112" s="24"/>
      <c r="J112" s="16"/>
      <c r="K112" s="18"/>
      <c r="L112" s="18"/>
      <c r="M112" s="24"/>
      <c r="N112" s="18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5.75" customHeight="1" x14ac:dyDescent="0.25">
      <c r="A113" s="7"/>
      <c r="B113" s="22" t="s">
        <v>112</v>
      </c>
      <c r="C113" s="10">
        <v>100</v>
      </c>
      <c r="D113" s="15">
        <v>45943</v>
      </c>
      <c r="E113" s="15">
        <v>46010</v>
      </c>
      <c r="F113" s="22" t="s">
        <v>113</v>
      </c>
      <c r="G113" s="12">
        <f t="shared" si="25"/>
        <v>46001</v>
      </c>
      <c r="H113" s="7"/>
      <c r="I113" s="24"/>
      <c r="J113" s="16"/>
      <c r="K113" s="18"/>
      <c r="L113" s="18"/>
      <c r="M113" s="24"/>
      <c r="N113" s="18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5.75" customHeight="1" x14ac:dyDescent="0.25">
      <c r="A114" s="7"/>
      <c r="B114" s="22"/>
      <c r="C114" s="9"/>
      <c r="D114" s="9"/>
      <c r="E114" s="28"/>
      <c r="F114" s="22"/>
      <c r="G114" s="28"/>
      <c r="H114" s="7"/>
      <c r="I114" s="24"/>
      <c r="J114" s="7"/>
      <c r="K114" s="7"/>
      <c r="L114" s="20"/>
      <c r="M114" s="24"/>
      <c r="N114" s="20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5.75" customHeight="1" x14ac:dyDescent="0.25">
      <c r="A115" s="7"/>
      <c r="B115" s="22" t="s">
        <v>114</v>
      </c>
      <c r="C115" s="10">
        <v>100</v>
      </c>
      <c r="D115" s="15">
        <v>46013</v>
      </c>
      <c r="E115" s="15">
        <v>46080</v>
      </c>
      <c r="F115" s="22" t="s">
        <v>115</v>
      </c>
      <c r="G115" s="12">
        <f t="shared" ref="G115:G116" si="26">E115-9</f>
        <v>46071</v>
      </c>
      <c r="H115" s="7"/>
      <c r="I115" s="24"/>
      <c r="J115" s="16"/>
      <c r="K115" s="18"/>
      <c r="L115" s="18"/>
      <c r="M115" s="24"/>
      <c r="N115" s="18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5.75" customHeight="1" x14ac:dyDescent="0.25">
      <c r="A116" s="7"/>
      <c r="B116" s="22" t="s">
        <v>116</v>
      </c>
      <c r="C116" s="10">
        <v>100</v>
      </c>
      <c r="D116" s="15">
        <v>46013</v>
      </c>
      <c r="E116" s="15">
        <v>46080</v>
      </c>
      <c r="F116" s="22" t="s">
        <v>117</v>
      </c>
      <c r="G116" s="12">
        <f t="shared" si="26"/>
        <v>46071</v>
      </c>
      <c r="H116" s="7"/>
      <c r="I116" s="24"/>
      <c r="J116" s="16"/>
      <c r="K116" s="18"/>
      <c r="L116" s="18"/>
      <c r="M116" s="24"/>
      <c r="N116" s="18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5.75" customHeight="1" x14ac:dyDescent="0.25">
      <c r="A117" s="7"/>
      <c r="B117" s="22"/>
      <c r="C117" s="9"/>
      <c r="D117" s="9"/>
      <c r="E117" s="28"/>
      <c r="F117" s="22"/>
      <c r="G117" s="28"/>
      <c r="H117" s="7"/>
      <c r="I117" s="24"/>
      <c r="J117" s="18"/>
      <c r="K117" s="18"/>
      <c r="L117" s="18"/>
      <c r="M117" s="24"/>
      <c r="N117" s="18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5.75" customHeight="1" x14ac:dyDescent="0.25">
      <c r="A118" s="7"/>
      <c r="B118" s="22" t="s">
        <v>118</v>
      </c>
      <c r="C118" s="10">
        <v>100</v>
      </c>
      <c r="D118" s="15">
        <v>46083</v>
      </c>
      <c r="E118" s="15">
        <v>46150</v>
      </c>
      <c r="F118" s="22" t="s">
        <v>119</v>
      </c>
      <c r="G118" s="12">
        <f t="shared" ref="G118:G119" si="27">E118-9</f>
        <v>46141</v>
      </c>
      <c r="H118" s="7"/>
      <c r="I118" s="24"/>
      <c r="J118" s="16"/>
      <c r="K118" s="18"/>
      <c r="L118" s="18"/>
      <c r="M118" s="24"/>
      <c r="N118" s="18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5.75" customHeight="1" x14ac:dyDescent="0.25">
      <c r="A119" s="7"/>
      <c r="B119" s="22" t="s">
        <v>123</v>
      </c>
      <c r="C119" s="10">
        <v>100</v>
      </c>
      <c r="D119" s="15">
        <v>46083</v>
      </c>
      <c r="E119" s="15">
        <v>46150</v>
      </c>
      <c r="F119" s="22" t="s">
        <v>124</v>
      </c>
      <c r="G119" s="12">
        <f t="shared" si="27"/>
        <v>46141</v>
      </c>
      <c r="H119" s="7"/>
      <c r="I119" s="24"/>
      <c r="J119" s="18"/>
      <c r="K119" s="18"/>
      <c r="L119" s="18"/>
      <c r="M119" s="24"/>
      <c r="N119" s="18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5.75" customHeight="1" x14ac:dyDescent="0.25">
      <c r="A120" s="7"/>
      <c r="B120" s="22"/>
      <c r="C120" s="15"/>
      <c r="D120" s="15"/>
      <c r="E120" s="15"/>
      <c r="F120" s="22"/>
      <c r="G120" s="15"/>
      <c r="H120" s="7"/>
      <c r="I120" s="24"/>
      <c r="J120" s="16"/>
      <c r="K120" s="18"/>
      <c r="L120" s="18"/>
      <c r="M120" s="24"/>
      <c r="N120" s="18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5.75" customHeight="1" x14ac:dyDescent="0.25">
      <c r="A121" s="7"/>
      <c r="B121" s="22" t="s">
        <v>125</v>
      </c>
      <c r="C121" s="10">
        <v>100</v>
      </c>
      <c r="D121" s="15">
        <v>46153</v>
      </c>
      <c r="E121" s="15">
        <v>46185</v>
      </c>
      <c r="F121" s="22" t="s">
        <v>126</v>
      </c>
      <c r="G121" s="12">
        <f>E121-9</f>
        <v>46176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5.75" customHeight="1" x14ac:dyDescent="0.25">
      <c r="A122" s="7"/>
      <c r="B122" s="22"/>
      <c r="C122" s="15"/>
      <c r="D122" s="15"/>
      <c r="E122" s="15"/>
      <c r="F122" s="22"/>
      <c r="G122" s="15"/>
      <c r="H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5.75" customHeight="1" x14ac:dyDescent="0.25">
      <c r="A123" s="7"/>
      <c r="B123" s="22" t="s">
        <v>127</v>
      </c>
      <c r="C123" s="10">
        <v>200</v>
      </c>
      <c r="D123" s="15">
        <v>46188</v>
      </c>
      <c r="E123" s="15">
        <v>46255</v>
      </c>
      <c r="F123" s="22" t="s">
        <v>128</v>
      </c>
      <c r="G123" s="12">
        <f>E123-9</f>
        <v>46246</v>
      </c>
      <c r="H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5.75" customHeight="1" x14ac:dyDescent="0.25">
      <c r="A124" s="7"/>
      <c r="B124" s="9"/>
      <c r="C124" s="9"/>
      <c r="D124" s="9"/>
      <c r="E124" s="9"/>
      <c r="F124" s="9" t="s">
        <v>129</v>
      </c>
      <c r="G124" s="9"/>
      <c r="H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5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5.75" customHeight="1" x14ac:dyDescent="0.25">
      <c r="A126" s="26"/>
      <c r="B126" s="27" t="s">
        <v>130</v>
      </c>
      <c r="C126" s="26"/>
      <c r="D126" s="26"/>
      <c r="E126" s="26"/>
      <c r="F126" s="26"/>
      <c r="G126" s="26"/>
      <c r="H126" s="26"/>
      <c r="I126" s="27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7"/>
    </row>
    <row r="127" spans="1:28" ht="15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5.75" customHeight="1" x14ac:dyDescent="0.25">
      <c r="A128" s="7"/>
      <c r="B128" s="9" t="s">
        <v>131</v>
      </c>
      <c r="C128" s="9" t="s">
        <v>33</v>
      </c>
      <c r="D128" s="9" t="s">
        <v>34</v>
      </c>
      <c r="E128" s="9" t="s">
        <v>35</v>
      </c>
      <c r="F128" s="9" t="s">
        <v>36</v>
      </c>
      <c r="G128" s="9" t="s">
        <v>37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5.75" customHeight="1" x14ac:dyDescent="0.25">
      <c r="A129" s="7"/>
      <c r="B129" s="22" t="s">
        <v>102</v>
      </c>
      <c r="C129" s="10">
        <v>100</v>
      </c>
      <c r="D129" s="11">
        <v>45803</v>
      </c>
      <c r="E129" s="12">
        <v>45870</v>
      </c>
      <c r="F129" s="22" t="s">
        <v>103</v>
      </c>
      <c r="G129" s="12">
        <f t="shared" ref="G129:G130" si="28">E129-9</f>
        <v>45861</v>
      </c>
      <c r="H129" s="7"/>
      <c r="I129" s="24"/>
      <c r="J129" s="16"/>
      <c r="K129" s="17"/>
      <c r="L129" s="17"/>
      <c r="M129" s="24"/>
      <c r="N129" s="1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5.75" customHeight="1" x14ac:dyDescent="0.25">
      <c r="A130" s="7"/>
      <c r="B130" s="22" t="s">
        <v>104</v>
      </c>
      <c r="C130" s="10">
        <v>100</v>
      </c>
      <c r="D130" s="11">
        <v>45803</v>
      </c>
      <c r="E130" s="12">
        <v>45870</v>
      </c>
      <c r="F130" s="22" t="s">
        <v>105</v>
      </c>
      <c r="G130" s="12">
        <f t="shared" si="28"/>
        <v>45861</v>
      </c>
      <c r="H130" s="7"/>
      <c r="I130" s="24"/>
      <c r="J130" s="16"/>
      <c r="K130" s="17"/>
      <c r="L130" s="17"/>
      <c r="M130" s="24"/>
      <c r="N130" s="1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5.75" customHeight="1" x14ac:dyDescent="0.25">
      <c r="A131" s="7"/>
      <c r="B131" s="22"/>
      <c r="C131" s="9"/>
      <c r="D131" s="9"/>
      <c r="E131" s="9"/>
      <c r="F131" s="22"/>
      <c r="G131" s="9"/>
      <c r="H131" s="7"/>
      <c r="I131" s="24"/>
      <c r="J131" s="7"/>
      <c r="K131" s="7"/>
      <c r="L131" s="7"/>
      <c r="M131" s="24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5.75" customHeight="1" x14ac:dyDescent="0.25">
      <c r="A132" s="7"/>
      <c r="B132" s="22" t="s">
        <v>106</v>
      </c>
      <c r="C132" s="10">
        <v>100</v>
      </c>
      <c r="D132" s="12">
        <v>45873</v>
      </c>
      <c r="E132" s="15">
        <v>45940</v>
      </c>
      <c r="F132" s="22" t="s">
        <v>107</v>
      </c>
      <c r="G132" s="12">
        <f t="shared" ref="G132:G133" si="29">E132-9</f>
        <v>45931</v>
      </c>
      <c r="H132" s="7"/>
      <c r="I132" s="24"/>
      <c r="J132" s="16"/>
      <c r="K132" s="17"/>
      <c r="L132" s="18"/>
      <c r="M132" s="24"/>
      <c r="N132" s="18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5.75" customHeight="1" x14ac:dyDescent="0.25">
      <c r="A133" s="7"/>
      <c r="B133" s="22" t="s">
        <v>108</v>
      </c>
      <c r="C133" s="10">
        <v>100</v>
      </c>
      <c r="D133" s="12">
        <v>45873</v>
      </c>
      <c r="E133" s="15">
        <v>45940</v>
      </c>
      <c r="F133" s="22" t="s">
        <v>109</v>
      </c>
      <c r="G133" s="12">
        <f t="shared" si="29"/>
        <v>45931</v>
      </c>
      <c r="H133" s="7"/>
      <c r="I133" s="24"/>
      <c r="J133" s="16"/>
      <c r="K133" s="17"/>
      <c r="L133" s="18"/>
      <c r="M133" s="24"/>
      <c r="N133" s="18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5.75" customHeight="1" x14ac:dyDescent="0.25">
      <c r="A134" s="7"/>
      <c r="B134" s="22"/>
      <c r="C134" s="9"/>
      <c r="D134" s="9"/>
      <c r="E134" s="9"/>
      <c r="F134" s="22"/>
      <c r="G134" s="9"/>
      <c r="H134" s="7"/>
      <c r="I134" s="24"/>
      <c r="J134" s="7"/>
      <c r="K134" s="7"/>
      <c r="L134" s="7"/>
      <c r="M134" s="24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5.75" customHeight="1" x14ac:dyDescent="0.25">
      <c r="A135" s="7"/>
      <c r="B135" s="22" t="s">
        <v>110</v>
      </c>
      <c r="C135" s="10">
        <v>100</v>
      </c>
      <c r="D135" s="15">
        <v>45943</v>
      </c>
      <c r="E135" s="15">
        <v>46010</v>
      </c>
      <c r="F135" s="22" t="s">
        <v>111</v>
      </c>
      <c r="G135" s="12">
        <f t="shared" ref="G135:G136" si="30">E135-9</f>
        <v>46001</v>
      </c>
      <c r="H135" s="7"/>
      <c r="I135" s="24"/>
      <c r="J135" s="16"/>
      <c r="K135" s="18"/>
      <c r="L135" s="18"/>
      <c r="M135" s="24"/>
      <c r="N135" s="18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5.75" customHeight="1" x14ac:dyDescent="0.25">
      <c r="A136" s="7"/>
      <c r="B136" s="22" t="s">
        <v>112</v>
      </c>
      <c r="C136" s="10">
        <v>100</v>
      </c>
      <c r="D136" s="15">
        <v>45943</v>
      </c>
      <c r="E136" s="15">
        <v>46010</v>
      </c>
      <c r="F136" s="22" t="s">
        <v>113</v>
      </c>
      <c r="G136" s="12">
        <f t="shared" si="30"/>
        <v>46001</v>
      </c>
      <c r="H136" s="7"/>
      <c r="I136" s="24"/>
      <c r="J136" s="16"/>
      <c r="K136" s="18"/>
      <c r="L136" s="18"/>
      <c r="M136" s="24"/>
      <c r="N136" s="18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5.75" customHeight="1" x14ac:dyDescent="0.25">
      <c r="A137" s="7"/>
      <c r="B137" s="22"/>
      <c r="C137" s="9"/>
      <c r="D137" s="9"/>
      <c r="E137" s="28"/>
      <c r="F137" s="22"/>
      <c r="G137" s="28"/>
      <c r="H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5.75" customHeight="1" x14ac:dyDescent="0.25">
      <c r="A138" s="7"/>
      <c r="B138" s="22" t="s">
        <v>114</v>
      </c>
      <c r="C138" s="10">
        <v>100</v>
      </c>
      <c r="D138" s="15">
        <v>46013</v>
      </c>
      <c r="E138" s="15">
        <v>46080</v>
      </c>
      <c r="F138" s="22" t="s">
        <v>115</v>
      </c>
      <c r="G138" s="12">
        <f t="shared" ref="G138:G139" si="31">E138-9</f>
        <v>46071</v>
      </c>
      <c r="H138" s="7"/>
      <c r="I138" s="24"/>
      <c r="J138" s="16"/>
      <c r="K138" s="18"/>
      <c r="L138" s="18"/>
      <c r="M138" s="24"/>
      <c r="N138" s="18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5.75" customHeight="1" x14ac:dyDescent="0.25">
      <c r="A139" s="7"/>
      <c r="B139" s="22" t="s">
        <v>116</v>
      </c>
      <c r="C139" s="10">
        <v>100</v>
      </c>
      <c r="D139" s="15">
        <v>46013</v>
      </c>
      <c r="E139" s="15">
        <v>46080</v>
      </c>
      <c r="F139" s="22" t="s">
        <v>117</v>
      </c>
      <c r="G139" s="12">
        <f t="shared" si="31"/>
        <v>46071</v>
      </c>
      <c r="H139" s="7"/>
      <c r="I139" s="24"/>
      <c r="J139" s="16"/>
      <c r="K139" s="18"/>
      <c r="L139" s="18"/>
      <c r="M139" s="24"/>
      <c r="N139" s="18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5.75" customHeight="1" x14ac:dyDescent="0.25">
      <c r="A140" s="7"/>
      <c r="B140" s="22"/>
      <c r="C140" s="9"/>
      <c r="D140" s="9"/>
      <c r="E140" s="28"/>
      <c r="F140" s="22"/>
      <c r="G140" s="28"/>
      <c r="H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5.75" customHeight="1" x14ac:dyDescent="0.25">
      <c r="A141" s="7"/>
      <c r="B141" s="22" t="s">
        <v>118</v>
      </c>
      <c r="C141" s="10">
        <v>100</v>
      </c>
      <c r="D141" s="15">
        <v>46083</v>
      </c>
      <c r="E141" s="15">
        <v>46150</v>
      </c>
      <c r="F141" s="22" t="s">
        <v>119</v>
      </c>
      <c r="G141" s="12">
        <f t="shared" ref="G141:G142" si="32">E141-9</f>
        <v>46141</v>
      </c>
      <c r="H141" s="7"/>
      <c r="I141" s="24"/>
      <c r="J141" s="16"/>
      <c r="K141" s="18"/>
      <c r="L141" s="18"/>
      <c r="M141" s="24"/>
      <c r="N141" s="18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5.75" customHeight="1" x14ac:dyDescent="0.25">
      <c r="A142" s="7"/>
      <c r="B142" s="22" t="s">
        <v>123</v>
      </c>
      <c r="C142" s="10">
        <v>100</v>
      </c>
      <c r="D142" s="15">
        <v>46083</v>
      </c>
      <c r="E142" s="15">
        <v>46150</v>
      </c>
      <c r="F142" s="22" t="s">
        <v>124</v>
      </c>
      <c r="G142" s="12">
        <f t="shared" si="32"/>
        <v>46141</v>
      </c>
      <c r="H142" s="7"/>
      <c r="I142" s="24"/>
      <c r="J142" s="16"/>
      <c r="K142" s="18"/>
      <c r="L142" s="18"/>
      <c r="M142" s="24"/>
      <c r="N142" s="18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5.75" customHeight="1" x14ac:dyDescent="0.25">
      <c r="A143" s="7"/>
      <c r="B143" s="22"/>
      <c r="C143" s="15"/>
      <c r="D143" s="15"/>
      <c r="E143" s="15"/>
      <c r="F143" s="22"/>
      <c r="G143" s="15"/>
      <c r="H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5.75" customHeight="1" x14ac:dyDescent="0.25">
      <c r="A144" s="7"/>
      <c r="B144" s="22" t="s">
        <v>132</v>
      </c>
      <c r="C144" s="10">
        <v>100</v>
      </c>
      <c r="D144" s="15">
        <v>46153</v>
      </c>
      <c r="E144" s="15">
        <v>46185</v>
      </c>
      <c r="F144" s="22" t="s">
        <v>133</v>
      </c>
      <c r="G144" s="12">
        <f>E144-9</f>
        <v>46176</v>
      </c>
      <c r="H144" s="7"/>
      <c r="I144" s="24"/>
      <c r="J144" s="16"/>
      <c r="K144" s="18"/>
      <c r="L144" s="18"/>
      <c r="M144" s="24"/>
      <c r="N144" s="18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5.75" customHeight="1" x14ac:dyDescent="0.25">
      <c r="A145" s="7"/>
      <c r="B145" s="22"/>
      <c r="C145" s="10"/>
      <c r="D145" s="15"/>
      <c r="E145" s="15"/>
      <c r="F145" s="22"/>
      <c r="G145" s="1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15.75" customHeight="1" x14ac:dyDescent="0.25">
      <c r="A146" s="7"/>
      <c r="B146" s="22" t="s">
        <v>127</v>
      </c>
      <c r="C146" s="10">
        <v>200</v>
      </c>
      <c r="D146" s="15">
        <v>46188</v>
      </c>
      <c r="E146" s="15">
        <v>46255</v>
      </c>
      <c r="F146" s="22" t="s">
        <v>128</v>
      </c>
      <c r="G146" s="12">
        <f>E146-9</f>
        <v>46246</v>
      </c>
      <c r="H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5.75" customHeight="1" x14ac:dyDescent="0.25">
      <c r="A147" s="7"/>
      <c r="B147" s="9"/>
      <c r="C147" s="9"/>
      <c r="D147" s="9"/>
      <c r="E147" s="9"/>
      <c r="F147" s="9" t="s">
        <v>129</v>
      </c>
      <c r="G147" s="9"/>
      <c r="H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15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5.75" customHeight="1" x14ac:dyDescent="0.25">
      <c r="A149" s="26"/>
      <c r="B149" s="27" t="s">
        <v>134</v>
      </c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7"/>
    </row>
    <row r="150" spans="1:28" ht="15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5.75" customHeight="1" x14ac:dyDescent="0.25">
      <c r="A151" s="7"/>
      <c r="B151" s="9" t="s">
        <v>135</v>
      </c>
      <c r="C151" s="9" t="s">
        <v>33</v>
      </c>
      <c r="D151" s="9" t="s">
        <v>34</v>
      </c>
      <c r="E151" s="9" t="s">
        <v>35</v>
      </c>
      <c r="F151" s="9" t="s">
        <v>36</v>
      </c>
      <c r="G151" s="9" t="s">
        <v>37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5.75" customHeight="1" x14ac:dyDescent="0.25">
      <c r="A152" s="7"/>
      <c r="B152" s="22" t="s">
        <v>123</v>
      </c>
      <c r="C152" s="10">
        <v>100</v>
      </c>
      <c r="D152" s="11">
        <v>45803</v>
      </c>
      <c r="E152" s="12">
        <v>45870</v>
      </c>
      <c r="F152" s="22" t="s">
        <v>124</v>
      </c>
      <c r="G152" s="12">
        <f t="shared" ref="G152:G153" si="33">E152-9</f>
        <v>45861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15.75" customHeight="1" x14ac:dyDescent="0.25">
      <c r="A153" s="7"/>
      <c r="B153" s="22" t="s">
        <v>125</v>
      </c>
      <c r="C153" s="10">
        <v>100</v>
      </c>
      <c r="D153" s="11">
        <v>45803</v>
      </c>
      <c r="E153" s="12">
        <v>45870</v>
      </c>
      <c r="F153" s="22" t="s">
        <v>126</v>
      </c>
      <c r="G153" s="12">
        <f t="shared" si="33"/>
        <v>45861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5.75" customHeight="1" x14ac:dyDescent="0.25">
      <c r="A154" s="7"/>
      <c r="B154" s="22"/>
      <c r="C154" s="15"/>
      <c r="D154" s="9"/>
      <c r="E154" s="9"/>
      <c r="F154" s="22"/>
      <c r="G154" s="9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5.75" customHeight="1" x14ac:dyDescent="0.25">
      <c r="A155" s="7"/>
      <c r="B155" s="22" t="s">
        <v>127</v>
      </c>
      <c r="C155" s="10">
        <v>200</v>
      </c>
      <c r="D155" s="12">
        <v>45873</v>
      </c>
      <c r="E155" s="15">
        <v>45940</v>
      </c>
      <c r="F155" s="22" t="s">
        <v>128</v>
      </c>
      <c r="G155" s="12">
        <f>E155-9</f>
        <v>45931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5.75" customHeight="1" x14ac:dyDescent="0.25">
      <c r="A156" s="7"/>
      <c r="B156" s="22"/>
      <c r="C156" s="10"/>
      <c r="D156" s="12"/>
      <c r="E156" s="12"/>
      <c r="F156" s="9" t="s">
        <v>62</v>
      </c>
      <c r="G156" s="9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5.75" customHeight="1" x14ac:dyDescent="0.25">
      <c r="A157" s="7"/>
      <c r="B157" s="24"/>
      <c r="C157" s="16"/>
      <c r="D157" s="18"/>
      <c r="E157" s="18"/>
      <c r="F157" s="24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5.75" customHeight="1" x14ac:dyDescent="0.25">
      <c r="A158" s="26"/>
      <c r="B158" s="27" t="s">
        <v>136</v>
      </c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7"/>
    </row>
    <row r="159" spans="1:28" ht="15.75" customHeight="1" x14ac:dyDescent="0.25">
      <c r="A159" s="7"/>
      <c r="B159" s="24"/>
      <c r="C159" s="16"/>
      <c r="D159" s="18"/>
      <c r="E159" s="18"/>
      <c r="F159" s="24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5.75" customHeight="1" x14ac:dyDescent="0.25">
      <c r="A160" s="7"/>
      <c r="B160" s="22" t="s">
        <v>137</v>
      </c>
      <c r="C160" s="9" t="s">
        <v>33</v>
      </c>
      <c r="D160" s="9" t="s">
        <v>34</v>
      </c>
      <c r="E160" s="9" t="s">
        <v>35</v>
      </c>
      <c r="F160" s="9" t="s">
        <v>36</v>
      </c>
      <c r="G160" s="9" t="s">
        <v>37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5.75" customHeight="1" x14ac:dyDescent="0.25">
      <c r="A161" s="7"/>
      <c r="B161" s="22" t="s">
        <v>123</v>
      </c>
      <c r="C161" s="10">
        <v>100</v>
      </c>
      <c r="D161" s="11">
        <v>45803</v>
      </c>
      <c r="E161" s="12">
        <v>45870</v>
      </c>
      <c r="F161" s="22" t="s">
        <v>124</v>
      </c>
      <c r="G161" s="12">
        <f t="shared" ref="G161:G162" si="34">E161-9</f>
        <v>45861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5.75" customHeight="1" x14ac:dyDescent="0.25">
      <c r="A162" s="7"/>
      <c r="B162" s="22" t="s">
        <v>132</v>
      </c>
      <c r="C162" s="10">
        <v>100</v>
      </c>
      <c r="D162" s="11">
        <v>45803</v>
      </c>
      <c r="E162" s="12">
        <v>45870</v>
      </c>
      <c r="F162" s="22" t="s">
        <v>133</v>
      </c>
      <c r="G162" s="12">
        <f t="shared" si="34"/>
        <v>45861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5.75" customHeight="1" x14ac:dyDescent="0.25">
      <c r="A163" s="7"/>
      <c r="B163" s="22"/>
      <c r="C163" s="15"/>
      <c r="D163" s="9"/>
      <c r="E163" s="9"/>
      <c r="F163" s="22"/>
      <c r="G163" s="9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5.75" customHeight="1" x14ac:dyDescent="0.25">
      <c r="A164" s="7"/>
      <c r="B164" s="22" t="s">
        <v>127</v>
      </c>
      <c r="C164" s="10">
        <v>200</v>
      </c>
      <c r="D164" s="12">
        <v>45873</v>
      </c>
      <c r="E164" s="15">
        <v>45940</v>
      </c>
      <c r="F164" s="22" t="s">
        <v>128</v>
      </c>
      <c r="G164" s="12">
        <f>E164-9</f>
        <v>45931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5.75" customHeight="1" x14ac:dyDescent="0.25">
      <c r="A165" s="7"/>
      <c r="B165" s="22"/>
      <c r="C165" s="10"/>
      <c r="D165" s="12"/>
      <c r="E165" s="12"/>
      <c r="F165" s="9" t="s">
        <v>62</v>
      </c>
      <c r="G165" s="9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5.75" customHeight="1" x14ac:dyDescent="0.25">
      <c r="A166" s="7"/>
      <c r="B166" s="24"/>
      <c r="C166" s="16"/>
      <c r="D166" s="18"/>
      <c r="E166" s="18"/>
      <c r="F166" s="24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5.75" customHeight="1" x14ac:dyDescent="0.25">
      <c r="A167" s="29"/>
      <c r="B167" s="30" t="s">
        <v>138</v>
      </c>
      <c r="C167" s="31"/>
      <c r="D167" s="31"/>
      <c r="E167" s="31"/>
      <c r="F167" s="31"/>
      <c r="G167" s="31"/>
      <c r="H167" s="29"/>
      <c r="I167" s="30" t="s">
        <v>139</v>
      </c>
      <c r="J167" s="31"/>
      <c r="K167" s="31"/>
      <c r="L167" s="31"/>
      <c r="M167" s="31"/>
      <c r="N167" s="31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</row>
    <row r="168" spans="1:28" ht="15.75" customHeight="1" x14ac:dyDescent="0.25">
      <c r="A168" s="7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5.75" customHeight="1" x14ac:dyDescent="0.25">
      <c r="A169" s="7"/>
      <c r="B169" s="32" t="s">
        <v>140</v>
      </c>
      <c r="C169" s="32" t="s">
        <v>33</v>
      </c>
      <c r="D169" s="32" t="s">
        <v>34</v>
      </c>
      <c r="E169" s="32" t="s">
        <v>35</v>
      </c>
      <c r="F169" s="32" t="s">
        <v>36</v>
      </c>
      <c r="G169" s="32" t="s">
        <v>37</v>
      </c>
      <c r="H169" s="7"/>
      <c r="I169" s="32" t="s">
        <v>140</v>
      </c>
      <c r="J169" s="32" t="s">
        <v>33</v>
      </c>
      <c r="K169" s="32" t="s">
        <v>34</v>
      </c>
      <c r="L169" s="32" t="s">
        <v>35</v>
      </c>
      <c r="M169" s="32" t="s">
        <v>36</v>
      </c>
      <c r="N169" s="32" t="s">
        <v>37</v>
      </c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5.75" customHeight="1" x14ac:dyDescent="0.25">
      <c r="A170" s="7"/>
      <c r="B170" s="33" t="s">
        <v>141</v>
      </c>
      <c r="C170" s="34">
        <v>100</v>
      </c>
      <c r="D170" s="11">
        <v>45803</v>
      </c>
      <c r="E170" s="12">
        <v>45870</v>
      </c>
      <c r="F170" s="32" t="s">
        <v>142</v>
      </c>
      <c r="G170" s="12">
        <f t="shared" ref="G170:G171" si="35">E170-9</f>
        <v>45861</v>
      </c>
      <c r="H170" s="7"/>
      <c r="I170" s="35" t="s">
        <v>141</v>
      </c>
      <c r="J170" s="36">
        <v>100</v>
      </c>
      <c r="K170" s="37">
        <v>45803</v>
      </c>
      <c r="L170" s="38">
        <v>45870</v>
      </c>
      <c r="M170" s="39" t="s">
        <v>142</v>
      </c>
      <c r="N170" s="38">
        <f t="shared" ref="N170:N171" si="36">L170-9</f>
        <v>45861</v>
      </c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5.75" customHeight="1" x14ac:dyDescent="0.25">
      <c r="A171" s="7"/>
      <c r="B171" s="33" t="s">
        <v>143</v>
      </c>
      <c r="C171" s="34">
        <v>100</v>
      </c>
      <c r="D171" s="11">
        <v>45803</v>
      </c>
      <c r="E171" s="12">
        <v>45870</v>
      </c>
      <c r="F171" s="33" t="s">
        <v>144</v>
      </c>
      <c r="G171" s="12">
        <f t="shared" si="35"/>
        <v>45861</v>
      </c>
      <c r="H171" s="7"/>
      <c r="I171" s="33" t="s">
        <v>143</v>
      </c>
      <c r="J171" s="34">
        <v>100</v>
      </c>
      <c r="K171" s="11">
        <v>45803</v>
      </c>
      <c r="L171" s="12">
        <v>45870</v>
      </c>
      <c r="M171" s="33" t="s">
        <v>144</v>
      </c>
      <c r="N171" s="12">
        <f t="shared" si="36"/>
        <v>45861</v>
      </c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5.75" customHeight="1" x14ac:dyDescent="0.25">
      <c r="A172" s="7"/>
      <c r="B172" s="32"/>
      <c r="C172" s="40"/>
      <c r="D172" s="9"/>
      <c r="E172" s="9"/>
      <c r="F172" s="32"/>
      <c r="G172" s="32"/>
      <c r="H172" s="7"/>
      <c r="I172" s="32"/>
      <c r="J172" s="40"/>
      <c r="K172" s="9"/>
      <c r="L172" s="9"/>
      <c r="M172" s="32"/>
      <c r="N172" s="32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5.75" customHeight="1" x14ac:dyDescent="0.25">
      <c r="A173" s="7"/>
      <c r="B173" s="33" t="s">
        <v>145</v>
      </c>
      <c r="C173" s="34">
        <v>50</v>
      </c>
      <c r="D173" s="12">
        <v>45873</v>
      </c>
      <c r="E173" s="15">
        <v>45905</v>
      </c>
      <c r="F173" s="33" t="s">
        <v>146</v>
      </c>
      <c r="G173" s="12">
        <f t="shared" ref="G173:G174" si="37">E173-9</f>
        <v>45896</v>
      </c>
      <c r="H173" s="7"/>
      <c r="I173" s="35" t="s">
        <v>145</v>
      </c>
      <c r="J173" s="36">
        <v>50</v>
      </c>
      <c r="K173" s="38">
        <v>45873</v>
      </c>
      <c r="L173" s="41">
        <v>45905</v>
      </c>
      <c r="M173" s="35" t="s">
        <v>146</v>
      </c>
      <c r="N173" s="38">
        <f t="shared" ref="N173:N174" si="38">L173-9</f>
        <v>45896</v>
      </c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5.75" customHeight="1" x14ac:dyDescent="0.25">
      <c r="A174" s="7"/>
      <c r="B174" s="32" t="s">
        <v>147</v>
      </c>
      <c r="C174" s="34">
        <v>50</v>
      </c>
      <c r="D174" s="12">
        <v>45873</v>
      </c>
      <c r="E174" s="15">
        <v>45905</v>
      </c>
      <c r="F174" s="33" t="s">
        <v>148</v>
      </c>
      <c r="G174" s="12">
        <f t="shared" si="37"/>
        <v>45896</v>
      </c>
      <c r="H174" s="7"/>
      <c r="I174" s="32" t="s">
        <v>147</v>
      </c>
      <c r="J174" s="34">
        <v>50</v>
      </c>
      <c r="K174" s="12">
        <v>45873</v>
      </c>
      <c r="L174" s="15">
        <v>45905</v>
      </c>
      <c r="M174" s="33" t="s">
        <v>148</v>
      </c>
      <c r="N174" s="12">
        <f t="shared" si="38"/>
        <v>45896</v>
      </c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5.75" customHeight="1" x14ac:dyDescent="0.25">
      <c r="A175" s="7"/>
      <c r="B175" s="32"/>
      <c r="C175" s="32"/>
      <c r="D175" s="9"/>
      <c r="E175" s="9"/>
      <c r="F175" s="32"/>
      <c r="G175" s="42"/>
      <c r="H175" s="7"/>
      <c r="I175" s="32"/>
      <c r="J175" s="32"/>
      <c r="K175" s="9"/>
      <c r="L175" s="9"/>
      <c r="M175" s="32"/>
      <c r="N175" s="42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15.75" customHeight="1" x14ac:dyDescent="0.25">
      <c r="A176" s="7"/>
      <c r="B176" s="33" t="s">
        <v>149</v>
      </c>
      <c r="C176" s="43">
        <v>50</v>
      </c>
      <c r="D176" s="15">
        <v>45908</v>
      </c>
      <c r="E176" s="15">
        <v>45940</v>
      </c>
      <c r="F176" s="33" t="s">
        <v>150</v>
      </c>
      <c r="G176" s="12">
        <f t="shared" ref="G176:G177" si="39">E176-9</f>
        <v>45931</v>
      </c>
      <c r="H176" s="7"/>
      <c r="I176" s="33" t="s">
        <v>149</v>
      </c>
      <c r="J176" s="43">
        <v>50</v>
      </c>
      <c r="K176" s="15">
        <v>45908</v>
      </c>
      <c r="L176" s="15">
        <v>45940</v>
      </c>
      <c r="M176" s="33" t="s">
        <v>150</v>
      </c>
      <c r="N176" s="12">
        <f t="shared" ref="N176:N177" si="40">L176-9</f>
        <v>45931</v>
      </c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5.75" customHeight="1" x14ac:dyDescent="0.25">
      <c r="A177" s="7"/>
      <c r="B177" s="33" t="s">
        <v>151</v>
      </c>
      <c r="C177" s="43">
        <v>50</v>
      </c>
      <c r="D177" s="15">
        <v>45908</v>
      </c>
      <c r="E177" s="15">
        <v>45940</v>
      </c>
      <c r="F177" s="33" t="s">
        <v>19</v>
      </c>
      <c r="G177" s="12">
        <f t="shared" si="39"/>
        <v>45931</v>
      </c>
      <c r="H177" s="7"/>
      <c r="I177" s="33" t="s">
        <v>151</v>
      </c>
      <c r="J177" s="43">
        <v>50</v>
      </c>
      <c r="K177" s="15">
        <v>45908</v>
      </c>
      <c r="L177" s="15">
        <v>45940</v>
      </c>
      <c r="M177" s="33" t="s">
        <v>19</v>
      </c>
      <c r="N177" s="12">
        <f t="shared" si="40"/>
        <v>45931</v>
      </c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5.75" customHeight="1" x14ac:dyDescent="0.25">
      <c r="A178" s="7"/>
      <c r="B178" s="32"/>
      <c r="C178" s="32"/>
      <c r="D178" s="9"/>
      <c r="E178" s="28"/>
      <c r="F178" s="32"/>
      <c r="G178" s="42"/>
      <c r="H178" s="7"/>
      <c r="I178" s="32"/>
      <c r="J178" s="32"/>
      <c r="K178" s="9"/>
      <c r="L178" s="28"/>
      <c r="M178" s="32"/>
      <c r="N178" s="42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5.75" customHeight="1" x14ac:dyDescent="0.25">
      <c r="A179" s="7"/>
      <c r="B179" s="33" t="s">
        <v>152</v>
      </c>
      <c r="C179" s="34">
        <v>100</v>
      </c>
      <c r="D179" s="15">
        <v>45943</v>
      </c>
      <c r="E179" s="15">
        <v>46010</v>
      </c>
      <c r="F179" s="33" t="s">
        <v>152</v>
      </c>
      <c r="G179" s="12">
        <f t="shared" ref="G179:G180" si="41">E179-9</f>
        <v>46001</v>
      </c>
      <c r="H179" s="7"/>
      <c r="I179" s="35" t="s">
        <v>152</v>
      </c>
      <c r="J179" s="36">
        <v>100</v>
      </c>
      <c r="K179" s="41">
        <v>45943</v>
      </c>
      <c r="L179" s="41">
        <v>46010</v>
      </c>
      <c r="M179" s="35" t="s">
        <v>152</v>
      </c>
      <c r="N179" s="38">
        <f t="shared" ref="N179:N180" si="42">L179-9</f>
        <v>46001</v>
      </c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5.75" customHeight="1" x14ac:dyDescent="0.25">
      <c r="A180" s="7"/>
      <c r="B180" s="33" t="s">
        <v>153</v>
      </c>
      <c r="C180" s="43">
        <v>100</v>
      </c>
      <c r="D180" s="15">
        <v>45943</v>
      </c>
      <c r="E180" s="15">
        <v>46010</v>
      </c>
      <c r="F180" s="33" t="s">
        <v>154</v>
      </c>
      <c r="G180" s="12">
        <f t="shared" si="41"/>
        <v>46001</v>
      </c>
      <c r="H180" s="7"/>
      <c r="I180" s="33" t="s">
        <v>153</v>
      </c>
      <c r="J180" s="43">
        <v>100</v>
      </c>
      <c r="K180" s="15">
        <v>45943</v>
      </c>
      <c r="L180" s="15">
        <v>46010</v>
      </c>
      <c r="M180" s="33" t="s">
        <v>154</v>
      </c>
      <c r="N180" s="12">
        <f t="shared" si="42"/>
        <v>46001</v>
      </c>
      <c r="O180" s="7"/>
      <c r="P180" s="20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15.75" customHeight="1" x14ac:dyDescent="0.25">
      <c r="A181" s="7"/>
      <c r="B181" s="32"/>
      <c r="C181" s="32"/>
      <c r="D181" s="9"/>
      <c r="E181" s="28"/>
      <c r="F181" s="32"/>
      <c r="G181" s="42"/>
      <c r="H181" s="7"/>
      <c r="I181" s="32"/>
      <c r="J181" s="32"/>
      <c r="K181" s="9"/>
      <c r="L181" s="28"/>
      <c r="M181" s="32"/>
      <c r="N181" s="42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5.75" customHeight="1" x14ac:dyDescent="0.25">
      <c r="A182" s="7"/>
      <c r="B182" s="33" t="s">
        <v>155</v>
      </c>
      <c r="C182" s="43">
        <v>100</v>
      </c>
      <c r="D182" s="15">
        <v>46013</v>
      </c>
      <c r="E182" s="15">
        <v>46080</v>
      </c>
      <c r="F182" s="33" t="s">
        <v>156</v>
      </c>
      <c r="G182" s="12">
        <f t="shared" ref="G182:G183" si="43">E182-9</f>
        <v>46071</v>
      </c>
      <c r="H182" s="7"/>
      <c r="I182" s="33" t="s">
        <v>155</v>
      </c>
      <c r="J182" s="43">
        <v>100</v>
      </c>
      <c r="K182" s="15">
        <v>46013</v>
      </c>
      <c r="L182" s="15">
        <v>46080</v>
      </c>
      <c r="M182" s="33" t="s">
        <v>156</v>
      </c>
      <c r="N182" s="12">
        <f t="shared" ref="N182:N183" si="44">L182-9</f>
        <v>46071</v>
      </c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5.75" customHeight="1" x14ac:dyDescent="0.25">
      <c r="A183" s="7"/>
      <c r="B183" s="33" t="s">
        <v>157</v>
      </c>
      <c r="C183" s="43">
        <v>100</v>
      </c>
      <c r="D183" s="15">
        <v>46013</v>
      </c>
      <c r="E183" s="15">
        <v>46080</v>
      </c>
      <c r="F183" s="33" t="s">
        <v>158</v>
      </c>
      <c r="G183" s="12">
        <f t="shared" si="43"/>
        <v>46071</v>
      </c>
      <c r="H183" s="7"/>
      <c r="I183" s="33" t="s">
        <v>157</v>
      </c>
      <c r="J183" s="43">
        <v>100</v>
      </c>
      <c r="K183" s="15">
        <v>46013</v>
      </c>
      <c r="L183" s="15">
        <v>46080</v>
      </c>
      <c r="M183" s="33" t="s">
        <v>158</v>
      </c>
      <c r="N183" s="12">
        <f t="shared" si="44"/>
        <v>46071</v>
      </c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5.75" customHeight="1" x14ac:dyDescent="0.25">
      <c r="A184" s="7"/>
      <c r="B184" s="32"/>
      <c r="C184" s="42"/>
      <c r="D184" s="42"/>
      <c r="E184" s="42"/>
      <c r="F184" s="32"/>
      <c r="G184" s="42"/>
      <c r="H184" s="7"/>
      <c r="I184" s="32"/>
      <c r="J184" s="42"/>
      <c r="K184" s="42"/>
      <c r="L184" s="42"/>
      <c r="M184" s="32"/>
      <c r="N184" s="42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5.75" customHeight="1" x14ac:dyDescent="0.25">
      <c r="A185" s="7"/>
      <c r="B185" s="33" t="s">
        <v>159</v>
      </c>
      <c r="C185" s="44">
        <v>100</v>
      </c>
      <c r="D185" s="15">
        <v>46083</v>
      </c>
      <c r="E185" s="45">
        <v>46150</v>
      </c>
      <c r="F185" s="33" t="s">
        <v>160</v>
      </c>
      <c r="G185" s="12">
        <f t="shared" ref="G185:G186" si="45">E185-9</f>
        <v>46141</v>
      </c>
      <c r="H185" s="7"/>
      <c r="I185" s="33" t="s">
        <v>159</v>
      </c>
      <c r="J185" s="44">
        <v>100</v>
      </c>
      <c r="K185" s="15">
        <v>46083</v>
      </c>
      <c r="L185" s="45">
        <v>46150</v>
      </c>
      <c r="M185" s="33" t="s">
        <v>160</v>
      </c>
      <c r="N185" s="12">
        <f t="shared" ref="N185:N186" si="46">L185-9</f>
        <v>46141</v>
      </c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15.75" customHeight="1" x14ac:dyDescent="0.25">
      <c r="A186" s="7"/>
      <c r="B186" s="33" t="s">
        <v>161</v>
      </c>
      <c r="C186" s="44">
        <v>100</v>
      </c>
      <c r="D186" s="15">
        <v>46083</v>
      </c>
      <c r="E186" s="45">
        <v>46150</v>
      </c>
      <c r="F186" s="33" t="s">
        <v>162</v>
      </c>
      <c r="G186" s="12">
        <f t="shared" si="45"/>
        <v>46141</v>
      </c>
      <c r="H186" s="7"/>
      <c r="I186" s="33" t="s">
        <v>161</v>
      </c>
      <c r="J186" s="44">
        <v>100</v>
      </c>
      <c r="K186" s="15">
        <v>46083</v>
      </c>
      <c r="L186" s="45">
        <v>46150</v>
      </c>
      <c r="M186" s="33" t="s">
        <v>162</v>
      </c>
      <c r="N186" s="12">
        <f t="shared" si="46"/>
        <v>46141</v>
      </c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15.75" customHeight="1" x14ac:dyDescent="0.25">
      <c r="A187" s="7"/>
      <c r="B187" s="32"/>
      <c r="C187" s="42"/>
      <c r="D187" s="42"/>
      <c r="E187" s="42"/>
      <c r="F187" s="32"/>
      <c r="G187" s="42"/>
      <c r="H187" s="7"/>
      <c r="I187" s="32"/>
      <c r="J187" s="42"/>
      <c r="K187" s="42"/>
      <c r="L187" s="42"/>
      <c r="M187" s="32"/>
      <c r="N187" s="42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15.75" customHeight="1" x14ac:dyDescent="0.25">
      <c r="A188" s="7"/>
      <c r="B188" s="33" t="s">
        <v>163</v>
      </c>
      <c r="C188" s="44">
        <v>100</v>
      </c>
      <c r="D188" s="45">
        <v>46153</v>
      </c>
      <c r="E188" s="46">
        <v>46220</v>
      </c>
      <c r="F188" s="33" t="s">
        <v>164</v>
      </c>
      <c r="G188" s="12">
        <f t="shared" ref="G188:G189" si="47">E188-9</f>
        <v>46211</v>
      </c>
      <c r="H188" s="7"/>
      <c r="I188" s="33" t="s">
        <v>163</v>
      </c>
      <c r="J188" s="44">
        <v>100</v>
      </c>
      <c r="K188" s="45">
        <v>46153</v>
      </c>
      <c r="L188" s="46">
        <v>46220</v>
      </c>
      <c r="M188" s="33" t="s">
        <v>164</v>
      </c>
      <c r="N188" s="12">
        <f t="shared" ref="N188:N189" si="48">L188-9</f>
        <v>46211</v>
      </c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15.75" customHeight="1" x14ac:dyDescent="0.25">
      <c r="A189" s="7"/>
      <c r="B189" s="33" t="s">
        <v>165</v>
      </c>
      <c r="C189" s="44">
        <v>100</v>
      </c>
      <c r="D189" s="45">
        <v>46153</v>
      </c>
      <c r="E189" s="46">
        <v>46220</v>
      </c>
      <c r="F189" s="33" t="s">
        <v>166</v>
      </c>
      <c r="G189" s="12">
        <f t="shared" si="47"/>
        <v>46211</v>
      </c>
      <c r="H189" s="7"/>
      <c r="I189" s="35" t="s">
        <v>165</v>
      </c>
      <c r="J189" s="47">
        <v>100</v>
      </c>
      <c r="K189" s="48">
        <v>46153</v>
      </c>
      <c r="L189" s="49">
        <v>46220</v>
      </c>
      <c r="M189" s="35" t="s">
        <v>166</v>
      </c>
      <c r="N189" s="38">
        <f t="shared" si="48"/>
        <v>46211</v>
      </c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15.75" customHeight="1" x14ac:dyDescent="0.25">
      <c r="A190" s="7"/>
      <c r="B190" s="32"/>
      <c r="C190" s="42"/>
      <c r="D190" s="42"/>
      <c r="E190" s="42"/>
      <c r="F190" s="32"/>
      <c r="G190" s="42"/>
      <c r="H190" s="7"/>
      <c r="I190" s="32"/>
      <c r="J190" s="42"/>
      <c r="K190" s="42"/>
      <c r="L190" s="42"/>
      <c r="M190" s="32"/>
      <c r="N190" s="42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15.75" customHeight="1" x14ac:dyDescent="0.25">
      <c r="A191" s="7"/>
      <c r="B191" s="33" t="s">
        <v>167</v>
      </c>
      <c r="C191" s="44">
        <v>100</v>
      </c>
      <c r="D191" s="45">
        <v>46223</v>
      </c>
      <c r="E191" s="46">
        <v>46290</v>
      </c>
      <c r="F191" s="33" t="s">
        <v>168</v>
      </c>
      <c r="G191" s="12">
        <f t="shared" ref="G191:G192" si="49">E191-9</f>
        <v>46281</v>
      </c>
      <c r="H191" s="7"/>
      <c r="I191" s="33" t="s">
        <v>167</v>
      </c>
      <c r="J191" s="44">
        <v>100</v>
      </c>
      <c r="K191" s="45">
        <v>46223</v>
      </c>
      <c r="L191" s="46">
        <v>46290</v>
      </c>
      <c r="M191" s="33" t="s">
        <v>168</v>
      </c>
      <c r="N191" s="12">
        <f t="shared" ref="N191:N192" si="50">L191-9</f>
        <v>46281</v>
      </c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15.75" customHeight="1" x14ac:dyDescent="0.25">
      <c r="A192" s="7"/>
      <c r="B192" s="33" t="s">
        <v>169</v>
      </c>
      <c r="C192" s="44">
        <v>100</v>
      </c>
      <c r="D192" s="45">
        <v>46223</v>
      </c>
      <c r="E192" s="46">
        <v>46290</v>
      </c>
      <c r="F192" s="33" t="s">
        <v>170</v>
      </c>
      <c r="G192" s="12">
        <f t="shared" si="49"/>
        <v>46281</v>
      </c>
      <c r="H192" s="7"/>
      <c r="I192" s="33" t="s">
        <v>169</v>
      </c>
      <c r="J192" s="44">
        <v>100</v>
      </c>
      <c r="K192" s="45">
        <v>46223</v>
      </c>
      <c r="L192" s="46">
        <v>46290</v>
      </c>
      <c r="M192" s="33" t="s">
        <v>170</v>
      </c>
      <c r="N192" s="12">
        <f t="shared" si="50"/>
        <v>46281</v>
      </c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15.75" customHeight="1" x14ac:dyDescent="0.25">
      <c r="A193" s="7"/>
      <c r="B193" s="32"/>
      <c r="C193" s="42"/>
      <c r="D193" s="42"/>
      <c r="E193" s="42"/>
      <c r="F193" s="32"/>
      <c r="G193" s="42"/>
      <c r="H193" s="7"/>
      <c r="I193" s="32"/>
      <c r="J193" s="42"/>
      <c r="K193" s="42"/>
      <c r="L193" s="42"/>
      <c r="M193" s="32"/>
      <c r="N193" s="42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15.75" customHeight="1" x14ac:dyDescent="0.25">
      <c r="A194" s="7"/>
      <c r="B194" s="33" t="s">
        <v>171</v>
      </c>
      <c r="C194" s="44">
        <v>100</v>
      </c>
      <c r="D194" s="46">
        <v>46293</v>
      </c>
      <c r="E194" s="46">
        <v>46325</v>
      </c>
      <c r="F194" s="33" t="s">
        <v>172</v>
      </c>
      <c r="G194" s="44" t="s">
        <v>29</v>
      </c>
      <c r="H194" s="7"/>
      <c r="I194" s="33" t="s">
        <v>171</v>
      </c>
      <c r="J194" s="44">
        <v>100</v>
      </c>
      <c r="K194" s="46">
        <v>46293</v>
      </c>
      <c r="L194" s="46">
        <v>46325</v>
      </c>
      <c r="M194" s="33" t="s">
        <v>172</v>
      </c>
      <c r="N194" s="44" t="s">
        <v>29</v>
      </c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15.75" customHeight="1" x14ac:dyDescent="0.25">
      <c r="A195" s="7"/>
      <c r="B195" s="32"/>
      <c r="C195" s="32"/>
      <c r="D195" s="32"/>
      <c r="E195" s="32"/>
      <c r="F195" s="32" t="s">
        <v>173</v>
      </c>
      <c r="G195" s="32"/>
      <c r="H195" s="7"/>
      <c r="I195" s="32"/>
      <c r="J195" s="32"/>
      <c r="K195" s="32"/>
      <c r="L195" s="32"/>
      <c r="M195" s="32" t="s">
        <v>173</v>
      </c>
      <c r="N195" s="32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15.75" customHeight="1" x14ac:dyDescent="0.25">
      <c r="A196" s="7"/>
      <c r="B196" s="1"/>
      <c r="C196" s="1"/>
      <c r="D196" s="1"/>
      <c r="E196" s="1"/>
      <c r="F196" s="1"/>
      <c r="G196" s="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15.75" customHeight="1" x14ac:dyDescent="0.25">
      <c r="A197" s="29"/>
      <c r="B197" s="30" t="s">
        <v>174</v>
      </c>
      <c r="C197" s="31"/>
      <c r="D197" s="31"/>
      <c r="E197" s="31"/>
      <c r="F197" s="31"/>
      <c r="G197" s="31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</row>
    <row r="198" spans="1:28" ht="15.75" customHeight="1" x14ac:dyDescent="0.25">
      <c r="A198" s="7"/>
      <c r="B198" s="1"/>
      <c r="C198" s="1"/>
      <c r="D198" s="1"/>
      <c r="E198" s="1"/>
      <c r="F198" s="1"/>
      <c r="G198" s="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15.75" customHeight="1" x14ac:dyDescent="0.25">
      <c r="A199" s="7"/>
      <c r="B199" s="32" t="s">
        <v>140</v>
      </c>
      <c r="C199" s="32" t="s">
        <v>33</v>
      </c>
      <c r="D199" s="32" t="s">
        <v>34</v>
      </c>
      <c r="E199" s="32" t="s">
        <v>35</v>
      </c>
      <c r="F199" s="32" t="s">
        <v>36</v>
      </c>
      <c r="G199" s="32" t="s">
        <v>37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15.75" customHeight="1" x14ac:dyDescent="0.25">
      <c r="A200" s="7"/>
      <c r="B200" s="33" t="s">
        <v>141</v>
      </c>
      <c r="C200" s="34">
        <v>100</v>
      </c>
      <c r="D200" s="11">
        <v>45803</v>
      </c>
      <c r="E200" s="12">
        <v>45870</v>
      </c>
      <c r="F200" s="32" t="s">
        <v>142</v>
      </c>
      <c r="G200" s="12">
        <f t="shared" ref="G200:G201" si="51">E200-9</f>
        <v>45861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ht="15.75" customHeight="1" x14ac:dyDescent="0.25">
      <c r="A201" s="7"/>
      <c r="B201" s="33" t="s">
        <v>143</v>
      </c>
      <c r="C201" s="34">
        <v>100</v>
      </c>
      <c r="D201" s="11">
        <v>45803</v>
      </c>
      <c r="E201" s="12">
        <v>45870</v>
      </c>
      <c r="F201" s="33" t="s">
        <v>144</v>
      </c>
      <c r="G201" s="12">
        <f t="shared" si="51"/>
        <v>45861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ht="15.75" customHeight="1" x14ac:dyDescent="0.25">
      <c r="A202" s="7"/>
      <c r="B202" s="32"/>
      <c r="C202" s="40"/>
      <c r="D202" s="9"/>
      <c r="E202" s="9"/>
      <c r="F202" s="32"/>
      <c r="G202" s="32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15.75" customHeight="1" x14ac:dyDescent="0.25">
      <c r="A203" s="7"/>
      <c r="B203" s="33" t="s">
        <v>145</v>
      </c>
      <c r="C203" s="34">
        <v>50</v>
      </c>
      <c r="D203" s="12">
        <v>45873</v>
      </c>
      <c r="E203" s="15">
        <v>45905</v>
      </c>
      <c r="F203" s="33" t="s">
        <v>146</v>
      </c>
      <c r="G203" s="12">
        <f t="shared" ref="G203:G204" si="52">E203-9</f>
        <v>45896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15.75" customHeight="1" x14ac:dyDescent="0.25">
      <c r="A204" s="7"/>
      <c r="B204" s="32" t="s">
        <v>147</v>
      </c>
      <c r="C204" s="34">
        <v>50</v>
      </c>
      <c r="D204" s="12">
        <v>45873</v>
      </c>
      <c r="E204" s="15">
        <v>45905</v>
      </c>
      <c r="F204" s="33" t="s">
        <v>148</v>
      </c>
      <c r="G204" s="12">
        <f t="shared" si="52"/>
        <v>45896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15.75" customHeight="1" x14ac:dyDescent="0.25">
      <c r="A205" s="7"/>
      <c r="B205" s="32"/>
      <c r="C205" s="32"/>
      <c r="D205" s="9"/>
      <c r="E205" s="9"/>
      <c r="F205" s="32"/>
      <c r="G205" s="42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15.75" customHeight="1" x14ac:dyDescent="0.25">
      <c r="A206" s="7"/>
      <c r="B206" s="33" t="s">
        <v>149</v>
      </c>
      <c r="C206" s="43">
        <v>50</v>
      </c>
      <c r="D206" s="15">
        <v>45908</v>
      </c>
      <c r="E206" s="15">
        <v>45940</v>
      </c>
      <c r="F206" s="33" t="s">
        <v>150</v>
      </c>
      <c r="G206" s="12">
        <f t="shared" ref="G206:G207" si="53">E206-9</f>
        <v>45931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15.75" customHeight="1" x14ac:dyDescent="0.25">
      <c r="A207" s="7"/>
      <c r="B207" s="35" t="s">
        <v>151</v>
      </c>
      <c r="C207" s="50">
        <v>50</v>
      </c>
      <c r="D207" s="41">
        <v>45908</v>
      </c>
      <c r="E207" s="41">
        <v>45940</v>
      </c>
      <c r="F207" s="35" t="s">
        <v>19</v>
      </c>
      <c r="G207" s="38">
        <f t="shared" si="53"/>
        <v>45931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15.75" customHeight="1" x14ac:dyDescent="0.25">
      <c r="A208" s="7"/>
      <c r="B208" s="32"/>
      <c r="C208" s="32"/>
      <c r="D208" s="9"/>
      <c r="E208" s="28"/>
      <c r="F208" s="32"/>
      <c r="G208" s="42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15.75" customHeight="1" x14ac:dyDescent="0.25">
      <c r="A209" s="7"/>
      <c r="B209" s="35" t="s">
        <v>152</v>
      </c>
      <c r="C209" s="36">
        <v>100</v>
      </c>
      <c r="D209" s="41">
        <v>45943</v>
      </c>
      <c r="E209" s="41">
        <v>46010</v>
      </c>
      <c r="F209" s="35" t="s">
        <v>152</v>
      </c>
      <c r="G209" s="38">
        <f t="shared" ref="G209:G210" si="54">E209-9</f>
        <v>46001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15.75" customHeight="1" x14ac:dyDescent="0.25">
      <c r="A210" s="7"/>
      <c r="B210" s="33" t="s">
        <v>153</v>
      </c>
      <c r="C210" s="43">
        <v>100</v>
      </c>
      <c r="D210" s="15">
        <v>45943</v>
      </c>
      <c r="E210" s="15">
        <v>46010</v>
      </c>
      <c r="F210" s="33" t="s">
        <v>154</v>
      </c>
      <c r="G210" s="12">
        <f t="shared" si="54"/>
        <v>46001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15.75" customHeight="1" x14ac:dyDescent="0.25">
      <c r="A211" s="7"/>
      <c r="B211" s="32"/>
      <c r="C211" s="32"/>
      <c r="D211" s="9"/>
      <c r="E211" s="28"/>
      <c r="F211" s="32"/>
      <c r="G211" s="42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15.75" customHeight="1" x14ac:dyDescent="0.25">
      <c r="A212" s="7"/>
      <c r="B212" s="33" t="s">
        <v>155</v>
      </c>
      <c r="C212" s="43">
        <v>100</v>
      </c>
      <c r="D212" s="15">
        <v>46013</v>
      </c>
      <c r="E212" s="15">
        <v>46080</v>
      </c>
      <c r="F212" s="33" t="s">
        <v>156</v>
      </c>
      <c r="G212" s="12">
        <f t="shared" ref="G212:G213" si="55">E212-9</f>
        <v>46071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15.75" customHeight="1" x14ac:dyDescent="0.25">
      <c r="A213" s="7"/>
      <c r="B213" s="33" t="s">
        <v>157</v>
      </c>
      <c r="C213" s="43">
        <v>100</v>
      </c>
      <c r="D213" s="15">
        <v>46013</v>
      </c>
      <c r="E213" s="15">
        <v>46080</v>
      </c>
      <c r="F213" s="33" t="s">
        <v>158</v>
      </c>
      <c r="G213" s="12">
        <f t="shared" si="55"/>
        <v>46071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15.75" customHeight="1" x14ac:dyDescent="0.25">
      <c r="A214" s="7"/>
      <c r="B214" s="32"/>
      <c r="C214" s="42"/>
      <c r="D214" s="42"/>
      <c r="E214" s="42"/>
      <c r="F214" s="32"/>
      <c r="G214" s="42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15.75" customHeight="1" x14ac:dyDescent="0.25">
      <c r="A215" s="7"/>
      <c r="B215" s="33" t="s">
        <v>159</v>
      </c>
      <c r="C215" s="44">
        <v>100</v>
      </c>
      <c r="D215" s="15">
        <v>46083</v>
      </c>
      <c r="E215" s="45">
        <v>46150</v>
      </c>
      <c r="F215" s="33" t="s">
        <v>160</v>
      </c>
      <c r="G215" s="12">
        <f t="shared" ref="G215:G216" si="56">E215-9</f>
        <v>46141</v>
      </c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15.75" customHeight="1" x14ac:dyDescent="0.25">
      <c r="A216" s="7"/>
      <c r="B216" s="33" t="s">
        <v>161</v>
      </c>
      <c r="C216" s="44">
        <v>100</v>
      </c>
      <c r="D216" s="15">
        <v>46083</v>
      </c>
      <c r="E216" s="45">
        <v>46150</v>
      </c>
      <c r="F216" s="33" t="s">
        <v>162</v>
      </c>
      <c r="G216" s="12">
        <f t="shared" si="56"/>
        <v>46141</v>
      </c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15.75" customHeight="1" x14ac:dyDescent="0.25">
      <c r="A217" s="7"/>
      <c r="B217" s="32"/>
      <c r="C217" s="42"/>
      <c r="D217" s="42"/>
      <c r="E217" s="42"/>
      <c r="F217" s="32"/>
      <c r="G217" s="42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15.75" customHeight="1" x14ac:dyDescent="0.25">
      <c r="A218" s="7"/>
      <c r="B218" s="33" t="s">
        <v>163</v>
      </c>
      <c r="C218" s="44">
        <v>100</v>
      </c>
      <c r="D218" s="45">
        <v>46153</v>
      </c>
      <c r="E218" s="46">
        <v>46220</v>
      </c>
      <c r="F218" s="33" t="s">
        <v>164</v>
      </c>
      <c r="G218" s="12">
        <f t="shared" ref="G218:G219" si="57">E218-9</f>
        <v>46211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15.75" customHeight="1" x14ac:dyDescent="0.25">
      <c r="A219" s="7"/>
      <c r="B219" s="33" t="s">
        <v>165</v>
      </c>
      <c r="C219" s="44">
        <v>100</v>
      </c>
      <c r="D219" s="45">
        <v>46153</v>
      </c>
      <c r="E219" s="46">
        <v>46220</v>
      </c>
      <c r="F219" s="33" t="s">
        <v>166</v>
      </c>
      <c r="G219" s="12">
        <f t="shared" si="57"/>
        <v>46211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5.75" customHeight="1" x14ac:dyDescent="0.25">
      <c r="A220" s="7"/>
      <c r="B220" s="32"/>
      <c r="C220" s="42"/>
      <c r="D220" s="42"/>
      <c r="E220" s="42"/>
      <c r="F220" s="32"/>
      <c r="G220" s="42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5.75" customHeight="1" x14ac:dyDescent="0.25">
      <c r="A221" s="7"/>
      <c r="B221" s="33" t="s">
        <v>167</v>
      </c>
      <c r="C221" s="44">
        <v>100</v>
      </c>
      <c r="D221" s="45">
        <v>46223</v>
      </c>
      <c r="E221" s="46">
        <v>46290</v>
      </c>
      <c r="F221" s="33" t="s">
        <v>168</v>
      </c>
      <c r="G221" s="12">
        <f t="shared" ref="G221:G222" si="58">E221-9</f>
        <v>46281</v>
      </c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ht="15.75" customHeight="1" x14ac:dyDescent="0.25">
      <c r="A222" s="7"/>
      <c r="B222" s="33" t="s">
        <v>169</v>
      </c>
      <c r="C222" s="44">
        <v>100</v>
      </c>
      <c r="D222" s="45">
        <v>46223</v>
      </c>
      <c r="E222" s="46">
        <v>46290</v>
      </c>
      <c r="F222" s="33" t="s">
        <v>170</v>
      </c>
      <c r="G222" s="12">
        <f t="shared" si="58"/>
        <v>46281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ht="15.75" customHeight="1" x14ac:dyDescent="0.25">
      <c r="A223" s="7"/>
      <c r="B223" s="32"/>
      <c r="C223" s="42"/>
      <c r="D223" s="42"/>
      <c r="E223" s="42"/>
      <c r="F223" s="32"/>
      <c r="G223" s="42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ht="15.75" customHeight="1" x14ac:dyDescent="0.25">
      <c r="A224" s="7"/>
      <c r="B224" s="33" t="s">
        <v>171</v>
      </c>
      <c r="C224" s="44">
        <v>100</v>
      </c>
      <c r="D224" s="46">
        <v>46293</v>
      </c>
      <c r="E224" s="46">
        <v>46325</v>
      </c>
      <c r="F224" s="33" t="s">
        <v>172</v>
      </c>
      <c r="G224" s="44" t="s">
        <v>29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ht="15.75" customHeight="1" x14ac:dyDescent="0.25">
      <c r="A225" s="7"/>
      <c r="B225" s="32"/>
      <c r="C225" s="32"/>
      <c r="D225" s="32"/>
      <c r="E225" s="32"/>
      <c r="F225" s="32" t="s">
        <v>173</v>
      </c>
      <c r="G225" s="32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ht="15.75" customHeight="1" x14ac:dyDescent="0.25">
      <c r="A226" s="7"/>
      <c r="B226" s="1"/>
      <c r="C226" s="1"/>
      <c r="D226" s="1"/>
      <c r="E226" s="1"/>
      <c r="F226" s="1"/>
      <c r="G226" s="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ht="15.75" customHeight="1" x14ac:dyDescent="0.25">
      <c r="A227" s="29"/>
      <c r="B227" s="51" t="s">
        <v>175</v>
      </c>
      <c r="C227" s="29"/>
      <c r="D227" s="29"/>
      <c r="E227" s="29"/>
      <c r="F227" s="29"/>
      <c r="G227" s="29"/>
      <c r="H227" s="29"/>
      <c r="I227" s="51" t="s">
        <v>175</v>
      </c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 spans="1:28" ht="15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ht="15.75" customHeight="1" x14ac:dyDescent="0.25">
      <c r="A229" s="7"/>
      <c r="B229" s="9" t="s">
        <v>176</v>
      </c>
      <c r="C229" s="9" t="s">
        <v>33</v>
      </c>
      <c r="D229" s="9" t="s">
        <v>34</v>
      </c>
      <c r="E229" s="9" t="s">
        <v>35</v>
      </c>
      <c r="F229" s="9" t="s">
        <v>36</v>
      </c>
      <c r="G229" s="9" t="s">
        <v>37</v>
      </c>
      <c r="H229" s="7"/>
      <c r="I229" s="9" t="s">
        <v>176</v>
      </c>
      <c r="J229" s="9" t="s">
        <v>33</v>
      </c>
      <c r="K229" s="9" t="s">
        <v>34</v>
      </c>
      <c r="L229" s="9" t="s">
        <v>35</v>
      </c>
      <c r="M229" s="9" t="s">
        <v>36</v>
      </c>
      <c r="N229" s="9" t="s">
        <v>37</v>
      </c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ht="15.75" customHeight="1" x14ac:dyDescent="0.25">
      <c r="A230" s="24"/>
      <c r="B230" s="14" t="s">
        <v>141</v>
      </c>
      <c r="C230" s="10">
        <v>100</v>
      </c>
      <c r="D230" s="11">
        <v>45803</v>
      </c>
      <c r="E230" s="12">
        <v>45870</v>
      </c>
      <c r="F230" s="9" t="s">
        <v>142</v>
      </c>
      <c r="G230" s="12">
        <f t="shared" ref="G230:G231" si="59">E230-9</f>
        <v>45861</v>
      </c>
      <c r="H230" s="7"/>
      <c r="I230" s="14" t="s">
        <v>141</v>
      </c>
      <c r="J230" s="10">
        <v>100</v>
      </c>
      <c r="K230" s="11">
        <v>45803</v>
      </c>
      <c r="L230" s="12">
        <v>45870</v>
      </c>
      <c r="M230" s="9" t="s">
        <v>142</v>
      </c>
      <c r="N230" s="12">
        <f t="shared" ref="N230:N231" si="60">L230-9</f>
        <v>45861</v>
      </c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ht="15.75" customHeight="1" x14ac:dyDescent="0.25">
      <c r="A231" s="7"/>
      <c r="B231" s="14" t="s">
        <v>143</v>
      </c>
      <c r="C231" s="10">
        <v>100</v>
      </c>
      <c r="D231" s="11">
        <v>45803</v>
      </c>
      <c r="E231" s="12">
        <v>45870</v>
      </c>
      <c r="F231" s="14" t="s">
        <v>144</v>
      </c>
      <c r="G231" s="12">
        <f t="shared" si="59"/>
        <v>45861</v>
      </c>
      <c r="H231" s="7"/>
      <c r="I231" s="14" t="s">
        <v>143</v>
      </c>
      <c r="J231" s="10">
        <v>100</v>
      </c>
      <c r="K231" s="11">
        <v>45803</v>
      </c>
      <c r="L231" s="12">
        <v>45870</v>
      </c>
      <c r="M231" s="14" t="s">
        <v>144</v>
      </c>
      <c r="N231" s="12">
        <f t="shared" si="60"/>
        <v>45861</v>
      </c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ht="15.75" customHeight="1" x14ac:dyDescent="0.25">
      <c r="A232" s="7"/>
      <c r="B232" s="9"/>
      <c r="C232" s="52"/>
      <c r="D232" s="9"/>
      <c r="E232" s="9"/>
      <c r="F232" s="9"/>
      <c r="G232" s="9"/>
      <c r="H232" s="7"/>
      <c r="I232" s="9"/>
      <c r="J232" s="52"/>
      <c r="K232" s="9"/>
      <c r="L232" s="9"/>
      <c r="M232" s="9"/>
      <c r="N232" s="9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ht="15.75" customHeight="1" x14ac:dyDescent="0.25">
      <c r="A233" s="7"/>
      <c r="B233" s="14" t="s">
        <v>145</v>
      </c>
      <c r="C233" s="10">
        <v>50</v>
      </c>
      <c r="D233" s="12">
        <v>45873</v>
      </c>
      <c r="E233" s="15">
        <v>45905</v>
      </c>
      <c r="F233" s="14" t="s">
        <v>146</v>
      </c>
      <c r="G233" s="12">
        <f t="shared" ref="G233:G234" si="61">E233-9</f>
        <v>45896</v>
      </c>
      <c r="H233" s="7"/>
      <c r="I233" s="14" t="s">
        <v>145</v>
      </c>
      <c r="J233" s="10">
        <v>50</v>
      </c>
      <c r="K233" s="12">
        <v>45873</v>
      </c>
      <c r="L233" s="15">
        <v>45905</v>
      </c>
      <c r="M233" s="14" t="s">
        <v>146</v>
      </c>
      <c r="N233" s="12">
        <f t="shared" ref="N233:N234" si="62">L233-9</f>
        <v>45896</v>
      </c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ht="15.75" customHeight="1" x14ac:dyDescent="0.25">
      <c r="A234" s="7"/>
      <c r="B234" s="14" t="s">
        <v>149</v>
      </c>
      <c r="C234" s="10">
        <v>50</v>
      </c>
      <c r="D234" s="12">
        <v>45873</v>
      </c>
      <c r="E234" s="15">
        <v>45905</v>
      </c>
      <c r="F234" s="14" t="s">
        <v>150</v>
      </c>
      <c r="G234" s="12">
        <f t="shared" si="61"/>
        <v>45896</v>
      </c>
      <c r="H234" s="7"/>
      <c r="I234" s="53" t="s">
        <v>149</v>
      </c>
      <c r="J234" s="54">
        <v>50</v>
      </c>
      <c r="K234" s="38">
        <v>45873</v>
      </c>
      <c r="L234" s="41">
        <v>45905</v>
      </c>
      <c r="M234" s="53" t="s">
        <v>150</v>
      </c>
      <c r="N234" s="38">
        <f t="shared" si="62"/>
        <v>45896</v>
      </c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ht="15.75" customHeight="1" x14ac:dyDescent="0.25">
      <c r="A235" s="7"/>
      <c r="B235" s="9"/>
      <c r="C235" s="9"/>
      <c r="D235" s="9"/>
      <c r="E235" s="9"/>
      <c r="F235" s="9"/>
      <c r="G235" s="9"/>
      <c r="H235" s="7"/>
      <c r="I235" s="9"/>
      <c r="J235" s="9"/>
      <c r="K235" s="9"/>
      <c r="L235" s="9"/>
      <c r="M235" s="9"/>
      <c r="N235" s="9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ht="15.75" customHeight="1" x14ac:dyDescent="0.25">
      <c r="A236" s="7"/>
      <c r="B236" s="14" t="s">
        <v>157</v>
      </c>
      <c r="C236" s="13">
        <v>100</v>
      </c>
      <c r="D236" s="15">
        <v>45908</v>
      </c>
      <c r="E236" s="15">
        <v>45975</v>
      </c>
      <c r="F236" s="14" t="s">
        <v>158</v>
      </c>
      <c r="G236" s="12">
        <f t="shared" ref="G236:G237" si="63">E236-9</f>
        <v>45966</v>
      </c>
      <c r="H236" s="7"/>
      <c r="I236" s="14" t="s">
        <v>157</v>
      </c>
      <c r="J236" s="13">
        <v>100</v>
      </c>
      <c r="K236" s="15">
        <v>45908</v>
      </c>
      <c r="L236" s="15">
        <v>45975</v>
      </c>
      <c r="M236" s="14" t="s">
        <v>158</v>
      </c>
      <c r="N236" s="12">
        <f t="shared" ref="N236:N237" si="64">L236-9</f>
        <v>45966</v>
      </c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ht="15.75" customHeight="1" x14ac:dyDescent="0.25">
      <c r="A237" s="7"/>
      <c r="B237" s="14" t="s">
        <v>159</v>
      </c>
      <c r="C237" s="13">
        <v>100</v>
      </c>
      <c r="D237" s="15">
        <v>45908</v>
      </c>
      <c r="E237" s="15">
        <v>45975</v>
      </c>
      <c r="F237" s="14" t="s">
        <v>160</v>
      </c>
      <c r="G237" s="12">
        <f t="shared" si="63"/>
        <v>45966</v>
      </c>
      <c r="H237" s="7"/>
      <c r="I237" s="14" t="s">
        <v>159</v>
      </c>
      <c r="J237" s="13">
        <v>100</v>
      </c>
      <c r="K237" s="15">
        <v>45908</v>
      </c>
      <c r="L237" s="15">
        <v>45975</v>
      </c>
      <c r="M237" s="14" t="s">
        <v>160</v>
      </c>
      <c r="N237" s="12">
        <f t="shared" si="64"/>
        <v>45966</v>
      </c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ht="15.75" customHeight="1" x14ac:dyDescent="0.25">
      <c r="A238" s="7"/>
      <c r="B238" s="9"/>
      <c r="C238" s="9"/>
      <c r="D238" s="9"/>
      <c r="E238" s="28"/>
      <c r="F238" s="9"/>
      <c r="G238" s="9"/>
      <c r="H238" s="7"/>
      <c r="I238" s="9"/>
      <c r="J238" s="9"/>
      <c r="K238" s="9"/>
      <c r="L238" s="28"/>
      <c r="M238" s="9"/>
      <c r="N238" s="9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ht="15.75" customHeight="1" x14ac:dyDescent="0.25">
      <c r="A239" s="7"/>
      <c r="B239" s="14" t="s">
        <v>165</v>
      </c>
      <c r="C239" s="13">
        <v>100</v>
      </c>
      <c r="D239" s="15">
        <v>45978</v>
      </c>
      <c r="E239" s="15">
        <v>46045</v>
      </c>
      <c r="F239" s="14" t="s">
        <v>166</v>
      </c>
      <c r="G239" s="12">
        <f t="shared" ref="G239:G240" si="65">E239-9</f>
        <v>46036</v>
      </c>
      <c r="H239" s="7"/>
      <c r="I239" s="14" t="s">
        <v>165</v>
      </c>
      <c r="J239" s="13">
        <v>100</v>
      </c>
      <c r="K239" s="15">
        <v>45978</v>
      </c>
      <c r="L239" s="15">
        <v>46045</v>
      </c>
      <c r="M239" s="14" t="s">
        <v>166</v>
      </c>
      <c r="N239" s="12">
        <f t="shared" ref="N239:N240" si="66">L239-9</f>
        <v>46036</v>
      </c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ht="15.75" customHeight="1" x14ac:dyDescent="0.25">
      <c r="A240" s="7"/>
      <c r="B240" s="14" t="s">
        <v>161</v>
      </c>
      <c r="C240" s="13">
        <v>100</v>
      </c>
      <c r="D240" s="15">
        <v>45978</v>
      </c>
      <c r="E240" s="15">
        <v>46045</v>
      </c>
      <c r="F240" s="14" t="s">
        <v>162</v>
      </c>
      <c r="G240" s="12">
        <f t="shared" si="65"/>
        <v>46036</v>
      </c>
      <c r="H240" s="7"/>
      <c r="I240" s="14" t="s">
        <v>161</v>
      </c>
      <c r="J240" s="13">
        <v>100</v>
      </c>
      <c r="K240" s="15">
        <v>45978</v>
      </c>
      <c r="L240" s="15">
        <v>46045</v>
      </c>
      <c r="M240" s="14" t="s">
        <v>162</v>
      </c>
      <c r="N240" s="12">
        <f t="shared" si="66"/>
        <v>46036</v>
      </c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ht="15.75" customHeight="1" x14ac:dyDescent="0.25">
      <c r="A241" s="7"/>
      <c r="B241" s="14"/>
      <c r="C241" s="10"/>
      <c r="D241" s="12"/>
      <c r="E241" s="15"/>
      <c r="F241" s="14"/>
      <c r="G241" s="15"/>
      <c r="H241" s="7"/>
      <c r="I241" s="14"/>
      <c r="J241" s="10"/>
      <c r="K241" s="12"/>
      <c r="L241" s="15"/>
      <c r="M241" s="14"/>
      <c r="N241" s="15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ht="15.75" customHeight="1" x14ac:dyDescent="0.25">
      <c r="A242" s="7"/>
      <c r="B242" s="14" t="s">
        <v>152</v>
      </c>
      <c r="C242" s="10">
        <v>100</v>
      </c>
      <c r="D242" s="15">
        <v>46048</v>
      </c>
      <c r="E242" s="15">
        <v>46080</v>
      </c>
      <c r="F242" s="14" t="s">
        <v>177</v>
      </c>
      <c r="G242" s="12">
        <f>E242-6</f>
        <v>46074</v>
      </c>
      <c r="H242" s="7"/>
      <c r="I242" s="14" t="s">
        <v>152</v>
      </c>
      <c r="J242" s="10">
        <v>100</v>
      </c>
      <c r="K242" s="15">
        <v>46048</v>
      </c>
      <c r="L242" s="15">
        <v>46080</v>
      </c>
      <c r="M242" s="14" t="s">
        <v>177</v>
      </c>
      <c r="N242" s="12">
        <f>L242-6</f>
        <v>46074</v>
      </c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ht="15.75" customHeight="1" x14ac:dyDescent="0.25">
      <c r="A243" s="7"/>
      <c r="B243" s="9"/>
      <c r="C243" s="9"/>
      <c r="D243" s="9"/>
      <c r="E243" s="9"/>
      <c r="F243" s="9" t="s">
        <v>178</v>
      </c>
      <c r="G243" s="9"/>
      <c r="H243" s="7"/>
      <c r="I243" s="9"/>
      <c r="J243" s="9"/>
      <c r="K243" s="9"/>
      <c r="L243" s="9"/>
      <c r="M243" s="9" t="s">
        <v>178</v>
      </c>
      <c r="N243" s="9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ht="15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ht="15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ht="15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ht="15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ht="15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ht="15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ht="15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ht="15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ht="15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ht="15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ht="15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ht="15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ht="15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ht="15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ht="15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ht="15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ht="15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ht="15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ht="15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ht="15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ht="15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ht="15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ht="15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ht="15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ht="15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ht="15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ht="15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ht="15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ht="15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ht="15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ht="15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ht="15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ht="15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ht="15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ht="15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ht="15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ht="15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ht="15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ht="15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ht="15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ht="15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ht="15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ht="15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 ht="15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 ht="15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 ht="15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 ht="15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 ht="15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 ht="15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 ht="15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 ht="15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 ht="15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 ht="15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 ht="15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 ht="15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 ht="15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 ht="15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 ht="15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 ht="15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 ht="15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28" ht="15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 ht="15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 ht="15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 ht="15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1:28" ht="15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 ht="15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 ht="15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 ht="15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 ht="15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1:28" ht="15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 ht="15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 ht="15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1:28" ht="15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1:28" ht="15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1:28" ht="15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1:28" ht="15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1:28" ht="15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1:28" ht="15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1:28" ht="15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1:28" ht="15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1:28" ht="15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1:28" ht="15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1:28" ht="15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1:28" ht="15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1:28" ht="15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1:28" ht="15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1:28" ht="15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1:28" ht="15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1:28" ht="15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1:28" ht="15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1:28" ht="15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1:28" ht="15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1:28" ht="15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1:28" ht="15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1:28" ht="15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1:28" ht="15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1:28" ht="15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1:28" ht="15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1:28" ht="15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1:28" ht="15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1:28" ht="15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1:28" ht="15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1:28" ht="15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1:28" ht="15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1:28" ht="15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1:28" ht="15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1:28" ht="15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1:28" ht="15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1:28" ht="15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1:28" ht="15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1:28" ht="15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1:28" ht="15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1:28" ht="15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1:28" ht="15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1:28" ht="15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1:28" ht="15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1:28" ht="15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1:28" ht="15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1:28" ht="15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1:28" ht="15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1:28" ht="15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1:28" ht="15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1:28" ht="15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1:28" ht="15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1:28" ht="15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1:28" ht="15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1:28" ht="15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1:28" ht="15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1:28" ht="15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1:28" ht="15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1:28" ht="15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1:28" ht="15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1:28" ht="15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1:28" ht="15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1:28" ht="15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 ht="15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 ht="15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 ht="15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 ht="15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 ht="15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 ht="15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1:28" ht="15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1:28" ht="15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1:28" ht="15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1:28" ht="15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1:28" ht="15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1:28" ht="15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1:28" ht="15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1:28" ht="15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1:28" ht="15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1:28" ht="15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1:28" ht="15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1:28" ht="15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1:28" ht="15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1:28" ht="15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1:28" ht="15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1:28" ht="15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1:28" ht="15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1:28" ht="15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1:28" ht="15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1:28" ht="15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1:28" ht="15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1:28" ht="15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1:28" ht="15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1:28" ht="15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1:28" ht="15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1:28" ht="15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1:28" ht="15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1:28" ht="15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1:28" ht="15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1:28" ht="15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1:28" ht="15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1:28" ht="15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1:28" ht="15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1:28" ht="15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1:28" ht="15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1:28" ht="15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1:28" ht="15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1:28" ht="15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1:28" ht="15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1:28" ht="15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1:28" ht="15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1:28" ht="15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1:28" ht="15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1:28" ht="15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1:28" ht="15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1:28" ht="15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1:28" ht="15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1:28" ht="15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1:28" ht="15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1:28" ht="15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1:28" ht="15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1:28" ht="15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1:28" ht="15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1:28" ht="15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1:28" ht="15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1:28" ht="15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1:28" ht="15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1:28" ht="15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1:28" ht="15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1:28" ht="15.75" customHeight="1" x14ac:dyDescent="0.25"/>
    <row r="445" spans="1:28" ht="15.75" customHeight="1" x14ac:dyDescent="0.25"/>
    <row r="446" spans="1:28" ht="15.75" customHeight="1" x14ac:dyDescent="0.25"/>
    <row r="447" spans="1:28" ht="15.75" customHeight="1" x14ac:dyDescent="0.25"/>
    <row r="448" spans="1:2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Kontaktuppgifter</vt:lpstr>
      <vt:lpstr>maj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Levonian</cp:lastModifiedBy>
  <dcterms:modified xsi:type="dcterms:W3CDTF">2025-06-26T05:27:00Z</dcterms:modified>
</cp:coreProperties>
</file>